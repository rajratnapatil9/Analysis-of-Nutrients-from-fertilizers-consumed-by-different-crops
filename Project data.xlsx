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defaultThemeVersion="124226"/>
  <xr:revisionPtr revIDLastSave="0" documentId="13_ncr:1_{1D604396-5E01-4F8D-984D-8987BA048567}" xr6:coauthVersionLast="45" xr6:coauthVersionMax="45" xr10:uidLastSave="{00000000-0000-0000-0000-000000000000}"/>
  <bookViews>
    <workbookView minimized="1" xWindow="3285" yWindow="3645" windowWidth="15375" windowHeight="7875" xr2:uid="{00000000-000D-0000-FFFF-FFFF00000000}"/>
  </bookViews>
  <sheets>
    <sheet name="Sheet1" sheetId="1" r:id="rId1"/>
    <sheet name="ANOVA" sheetId="2" r:id="rId2"/>
    <sheet name="Sheet4" sheetId="4" r:id="rId3"/>
    <sheet name="Sheet3" sheetId="3" r:id="rId4"/>
    <sheet name="ANOVA (2)" sheetId="6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9" i="1"/>
  <c r="C46" i="1"/>
  <c r="D46" i="1"/>
  <c r="E46" i="1"/>
  <c r="F46" i="1"/>
  <c r="G46" i="1"/>
  <c r="H46" i="1"/>
  <c r="B46" i="1"/>
  <c r="J46" i="1"/>
  <c r="K46" i="1"/>
  <c r="L46" i="1"/>
  <c r="M46" i="1"/>
  <c r="N46" i="1"/>
  <c r="O46" i="1"/>
  <c r="P46" i="1"/>
  <c r="I46" i="1"/>
  <c r="I49" i="1"/>
  <c r="M53" i="1" l="1"/>
  <c r="J60" i="1" s="1"/>
  <c r="M52" i="1"/>
  <c r="J59" i="1" s="1"/>
  <c r="M51" i="1"/>
  <c r="J58" i="1" s="1"/>
  <c r="M50" i="1"/>
  <c r="J57" i="1" s="1"/>
  <c r="M49" i="1"/>
  <c r="J56" i="1" s="1"/>
  <c r="I53" i="1"/>
  <c r="I60" i="1" s="1"/>
  <c r="H60" i="1" s="1"/>
  <c r="I52" i="1"/>
  <c r="I59" i="1" s="1"/>
  <c r="H59" i="1" s="1"/>
  <c r="I51" i="1"/>
  <c r="I58" i="1" s="1"/>
  <c r="I50" i="1"/>
  <c r="I57" i="1" s="1"/>
  <c r="H58" i="1" l="1"/>
  <c r="H57" i="1"/>
  <c r="I56" i="1"/>
  <c r="H56" i="1" s="1"/>
  <c r="K53" i="1" l="1"/>
  <c r="K52" i="1"/>
  <c r="K51" i="1"/>
  <c r="K50" i="1"/>
  <c r="K49" i="1"/>
  <c r="G53" i="1"/>
  <c r="G52" i="1"/>
  <c r="G51" i="1"/>
  <c r="G50" i="1"/>
  <c r="G49" i="1"/>
  <c r="C53" i="1"/>
  <c r="C52" i="1"/>
  <c r="C51" i="1"/>
  <c r="C50" i="1"/>
  <c r="C49" i="1"/>
  <c r="M45" i="1"/>
  <c r="L50" i="1" s="1"/>
  <c r="N45" i="1"/>
  <c r="L51" i="1" s="1"/>
  <c r="O45" i="1"/>
  <c r="L52" i="1" s="1"/>
  <c r="P45" i="1"/>
  <c r="L53" i="1" s="1"/>
  <c r="L45" i="1"/>
  <c r="L49" i="1" s="1"/>
  <c r="H45" i="1"/>
  <c r="H50" i="1" s="1"/>
  <c r="I45" i="1"/>
  <c r="H51" i="1" s="1"/>
  <c r="G58" i="1" s="1"/>
  <c r="G64" i="1" s="1"/>
  <c r="J45" i="1"/>
  <c r="H52" i="1" s="1"/>
  <c r="K45" i="1"/>
  <c r="H53" i="1" s="1"/>
  <c r="G60" i="1" s="1"/>
  <c r="G66" i="1" s="1"/>
  <c r="G45" i="1"/>
  <c r="H49" i="1" s="1"/>
  <c r="C45" i="1"/>
  <c r="D50" i="1" s="1"/>
  <c r="D45" i="1"/>
  <c r="D51" i="1" s="1"/>
  <c r="E45" i="1"/>
  <c r="D52" i="1" s="1"/>
  <c r="F45" i="1"/>
  <c r="D53" i="1" s="1"/>
  <c r="B45" i="1"/>
  <c r="D49" i="1" s="1"/>
  <c r="G59" i="1" l="1"/>
  <c r="G57" i="1"/>
  <c r="G63" i="1" s="1"/>
  <c r="O57" i="1"/>
  <c r="N57" i="1"/>
  <c r="O56" i="1"/>
  <c r="N56" i="1"/>
  <c r="G56" i="1"/>
  <c r="G62" i="1" s="1"/>
</calcChain>
</file>

<file path=xl/sharedStrings.xml><?xml version="1.0" encoding="utf-8"?>
<sst xmlns="http://schemas.openxmlformats.org/spreadsheetml/2006/main" count="2094" uniqueCount="53">
  <si>
    <t>Cotton</t>
  </si>
  <si>
    <t>1,000 nutrient short tons</t>
  </si>
  <si>
    <t>Nitrogen   Corn</t>
  </si>
  <si>
    <t>NitrogenCotton</t>
  </si>
  <si>
    <t>NitrogenSoybeans</t>
  </si>
  <si>
    <t>Nitrogen  Wheat</t>
  </si>
  <si>
    <t xml:space="preserve">Nitrogen  Other </t>
  </si>
  <si>
    <t>Phosphate  Corn</t>
  </si>
  <si>
    <t>PhosphateCotton</t>
  </si>
  <si>
    <t>PhosphateSoybeans</t>
  </si>
  <si>
    <t>Phosphate  Wheat</t>
  </si>
  <si>
    <t xml:space="preserve">Phosphate  Other </t>
  </si>
  <si>
    <t xml:space="preserve"> Potash  Corn</t>
  </si>
  <si>
    <t xml:space="preserve"> PotashCotton</t>
  </si>
  <si>
    <t xml:space="preserve"> PotashSoybeans</t>
  </si>
  <si>
    <t xml:space="preserve"> Potash  Wheat</t>
  </si>
  <si>
    <t xml:space="preserve"> Potash  Other </t>
  </si>
  <si>
    <t>Year</t>
  </si>
  <si>
    <t>Content crop</t>
  </si>
  <si>
    <t>P value</t>
  </si>
  <si>
    <t>T stat</t>
  </si>
  <si>
    <t>Corn</t>
  </si>
  <si>
    <t>Soybean</t>
  </si>
  <si>
    <t>Wheat</t>
  </si>
  <si>
    <t>other</t>
  </si>
  <si>
    <t>dof</t>
  </si>
  <si>
    <t>an=32</t>
  </si>
  <si>
    <t>32-a</t>
  </si>
  <si>
    <t xml:space="preserve">T </t>
  </si>
  <si>
    <t>let years be replicates/observtions per factor</t>
  </si>
  <si>
    <t>factors-fertilizer,plant</t>
  </si>
  <si>
    <t>NITROGEN</t>
  </si>
  <si>
    <t>PHOSPHATE</t>
  </si>
  <si>
    <t>POTASH</t>
  </si>
  <si>
    <t>CORN</t>
  </si>
  <si>
    <t>COTTON</t>
  </si>
  <si>
    <t>SOYABEAN</t>
  </si>
  <si>
    <t>WHEAT</t>
  </si>
  <si>
    <t>OTHER</t>
  </si>
  <si>
    <t>US Plant Nutrient(1,000 nutrient short tons)</t>
  </si>
  <si>
    <t>Factor 1_Plant Name</t>
  </si>
  <si>
    <t>Factor 2_Fertilizer Content</t>
  </si>
  <si>
    <t>SOYBEANS</t>
  </si>
  <si>
    <t>FACTOR_1</t>
  </si>
  <si>
    <t>FACTOR_2</t>
  </si>
  <si>
    <t>TOTAL US Plant Nutrient FOR 40 YEARS(1,000 nutrient short tons)</t>
  </si>
  <si>
    <t>AVERAGE US Plant Nutrient FOR 40 YEARS(1,000 nutrient short tons)</t>
  </si>
  <si>
    <t>Standard  Deviation US Plant Nutrient FOR 40 YEARS(1,000 nutrient short tons)</t>
  </si>
  <si>
    <t>Replication NO.</t>
  </si>
  <si>
    <t>Sr. No</t>
  </si>
  <si>
    <t>Nitrrogen</t>
  </si>
  <si>
    <t>Phophate</t>
  </si>
  <si>
    <t>Potash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</si>
</sst>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2" fontId="4" fillId="0" borderId="0" xfId="0" applyNumberFormat="1" applyFont="1" applyBorder="1" applyAlignment="1" applyProtection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37" fontId="0" fillId="0" borderId="0" xfId="0" applyNumberFormat="1"/>
    <xf numFmtId="0" fontId="2" fillId="0" borderId="0" xfId="0" applyFont="1" applyBorder="1" applyAlignment="1" applyProtection="1"/>
    <xf numFmtId="37" fontId="2" fillId="0" borderId="0" xfId="0" applyNumberFormat="1" applyFont="1" applyBorder="1" applyAlignment="1" applyProtection="1"/>
    <xf numFmtId="37" fontId="2" fillId="0" borderId="1" xfId="0" applyNumberFormat="1" applyFont="1" applyBorder="1" applyAlignment="1" applyProtection="1"/>
    <xf numFmtId="164" fontId="2" fillId="0" borderId="0" xfId="0" applyNumberFormat="1" applyFont="1" applyBorder="1" applyAlignment="1" applyProtection="1"/>
    <xf numFmtId="37" fontId="2" fillId="0" borderId="2" xfId="0" applyNumberFormat="1" applyFont="1" applyBorder="1" applyAlignment="1" applyProtection="1"/>
    <xf numFmtId="37" fontId="2" fillId="0" borderId="1" xfId="0" applyNumberFormat="1" applyFont="1" applyFill="1" applyBorder="1" applyAlignment="1" applyProtection="1"/>
    <xf numFmtId="37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37" fontId="2" fillId="0" borderId="2" xfId="0" applyNumberFormat="1" applyFont="1" applyFill="1" applyBorder="1" applyAlignment="1" applyProtection="1"/>
    <xf numFmtId="0" fontId="2" fillId="0" borderId="0" xfId="0" applyFont="1" applyFill="1" applyBorder="1" applyAlignment="1" applyProtection="1"/>
    <xf numFmtId="165" fontId="2" fillId="0" borderId="0" xfId="1" applyNumberFormat="1" applyFont="1" applyBorder="1" applyAlignment="1"/>
    <xf numFmtId="165" fontId="2" fillId="0" borderId="0" xfId="1" applyNumberFormat="1" applyFont="1" applyAlignment="1"/>
    <xf numFmtId="165" fontId="2" fillId="0" borderId="2" xfId="1" applyNumberFormat="1" applyFont="1" applyBorder="1" applyAlignment="1"/>
    <xf numFmtId="165" fontId="1" fillId="0" borderId="0" xfId="1" applyNumberFormat="1" applyFont="1" applyBorder="1" applyAlignment="1">
      <alignment vertical="center"/>
    </xf>
    <xf numFmtId="165" fontId="1" fillId="0" borderId="0" xfId="1" applyNumberFormat="1" applyFont="1" applyBorder="1" applyAlignment="1"/>
    <xf numFmtId="165" fontId="1" fillId="0" borderId="2" xfId="1" applyNumberFormat="1" applyFont="1" applyBorder="1" applyAlignme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2" fontId="6" fillId="2" borderId="4" xfId="0" applyNumberFormat="1" applyFont="1" applyFill="1" applyBorder="1" applyAlignment="1">
      <alignment horizontal="center"/>
    </xf>
    <xf numFmtId="37" fontId="2" fillId="3" borderId="4" xfId="0" applyNumberFormat="1" applyFont="1" applyFill="1" applyBorder="1" applyAlignment="1"/>
    <xf numFmtId="37" fontId="2" fillId="0" borderId="4" xfId="0" applyNumberFormat="1" applyFont="1" applyBorder="1" applyAlignment="1"/>
    <xf numFmtId="165" fontId="2" fillId="0" borderId="4" xfId="1" applyNumberFormat="1" applyFont="1" applyBorder="1" applyAlignment="1"/>
    <xf numFmtId="165" fontId="2" fillId="3" borderId="4" xfId="1" applyNumberFormat="1" applyFont="1" applyFill="1" applyBorder="1" applyAlignment="1"/>
    <xf numFmtId="165" fontId="0" fillId="0" borderId="4" xfId="1" applyNumberFormat="1" applyFont="1" applyBorder="1" applyAlignment="1">
      <alignment vertical="center"/>
    </xf>
    <xf numFmtId="165" fontId="0" fillId="0" borderId="4" xfId="1" applyNumberFormat="1" applyFont="1" applyBorder="1" applyAlignment="1"/>
    <xf numFmtId="37" fontId="2" fillId="0" borderId="7" xfId="0" applyNumberFormat="1" applyFont="1" applyBorder="1" applyAlignment="1"/>
    <xf numFmtId="37" fontId="2" fillId="3" borderId="7" xfId="0" applyNumberFormat="1" applyFont="1" applyFill="1" applyBorder="1" applyAlignment="1"/>
    <xf numFmtId="2" fontId="3" fillId="2" borderId="5" xfId="0" applyNumberFormat="1" applyFont="1" applyFill="1" applyBorder="1" applyAlignment="1">
      <alignment horizontal="center"/>
    </xf>
    <xf numFmtId="37" fontId="2" fillId="3" borderId="5" xfId="0" applyNumberFormat="1" applyFont="1" applyFill="1" applyBorder="1" applyAlignment="1"/>
    <xf numFmtId="37" fontId="2" fillId="0" borderId="5" xfId="0" applyNumberFormat="1" applyFont="1" applyBorder="1" applyAlignment="1"/>
    <xf numFmtId="165" fontId="2" fillId="0" borderId="7" xfId="1" applyNumberFormat="1" applyFont="1" applyBorder="1" applyAlignment="1"/>
    <xf numFmtId="165" fontId="2" fillId="3" borderId="7" xfId="1" applyNumberFormat="1" applyFont="1" applyFill="1" applyBorder="1" applyAlignment="1"/>
    <xf numFmtId="165" fontId="0" fillId="0" borderId="7" xfId="1" applyNumberFormat="1" applyFont="1" applyBorder="1" applyAlignment="1"/>
    <xf numFmtId="164" fontId="2" fillId="3" borderId="4" xfId="0" applyNumberFormat="1" applyFont="1" applyFill="1" applyBorder="1" applyAlignment="1"/>
    <xf numFmtId="164" fontId="2" fillId="0" borderId="4" xfId="0" applyNumberFormat="1" applyFont="1" applyBorder="1" applyAlignment="1"/>
    <xf numFmtId="2" fontId="3" fillId="2" borderId="6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Fill="1" applyAlignment="1" applyProtection="1">
      <alignment horizontal="left"/>
    </xf>
    <xf numFmtId="0" fontId="0" fillId="4" borderId="0" xfId="0" applyFill="1"/>
    <xf numFmtId="37" fontId="5" fillId="4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/>
    <xf numFmtId="2" fontId="6" fillId="0" borderId="4" xfId="0" applyNumberFormat="1" applyFont="1" applyFill="1" applyBorder="1" applyAlignment="1">
      <alignment horizontal="center"/>
    </xf>
    <xf numFmtId="2" fontId="3" fillId="0" borderId="5" xfId="0" applyNumberFormat="1" applyFont="1" applyFill="1" applyBorder="1" applyAlignment="1">
      <alignment horizontal="center"/>
    </xf>
    <xf numFmtId="2" fontId="3" fillId="0" borderId="6" xfId="0" applyNumberFormat="1" applyFont="1" applyFill="1" applyBorder="1" applyAlignment="1">
      <alignment horizontal="center"/>
    </xf>
    <xf numFmtId="0" fontId="3" fillId="0" borderId="0" xfId="0" applyFont="1" applyBorder="1" applyAlignment="1" applyProtection="1">
      <alignment horizontal="center"/>
    </xf>
    <xf numFmtId="2" fontId="4" fillId="0" borderId="0" xfId="0" applyNumberFormat="1" applyFont="1" applyBorder="1" applyAlignment="1" applyProtection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Comma 3 2" xfId="1" xr:uid="{00000000-0005-0000-0000-000000000000}"/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#,##0;\-#,##0"/>
      <alignment horizontal="general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685802</xdr:colOff>
      <xdr:row>1</xdr:row>
      <xdr:rowOff>209550</xdr:rowOff>
    </xdr:from>
    <xdr:to>
      <xdr:col>11</xdr:col>
      <xdr:colOff>190500</xdr:colOff>
      <xdr:row>47</xdr:row>
      <xdr:rowOff>181216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E977B-BDD9-49D8-945D-720AEE334A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1126" r="19072"/>
        <a:stretch/>
      </xdr:blipFill>
      <xdr:spPr bwMode="auto">
        <a:xfrm>
          <a:off x="6200777" y="781050"/>
          <a:ext cx="1495423" cy="168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685802</xdr:colOff>
      <xdr:row>1</xdr:row>
      <xdr:rowOff>209550</xdr:rowOff>
    </xdr:from>
    <xdr:to>
      <xdr:col>11</xdr:col>
      <xdr:colOff>190500</xdr:colOff>
      <xdr:row>7</xdr:row>
      <xdr:rowOff>181216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FB971-4641-49BD-BD87-AED2070B41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1126" r="19072"/>
        <a:stretch/>
      </xdr:blipFill>
      <xdr:spPr bwMode="auto">
        <a:xfrm>
          <a:off x="6581777" y="781050"/>
          <a:ext cx="1495423" cy="168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4:P45" totalsRowCount="1" headerRowDxfId="30" dataDxfId="29">
  <autoFilter ref="A4:P44" xr:uid="{00000000-0009-0000-0100-000003000000}"/>
  <tableColumns count="16">
    <tableColumn id="1" xr3:uid="{00000000-0010-0000-0000-000001000000}" name="Year" dataDxfId="28" totalsRowDxfId="27"/>
    <tableColumn id="2" xr3:uid="{00000000-0010-0000-0000-000002000000}" name="Nitrogen   Corn" totalsRowFunction="custom" dataDxfId="26">
      <totalsRowFormula>AVERAGE(Table3[Nitrogen   Corn])</totalsRowFormula>
    </tableColumn>
    <tableColumn id="3" xr3:uid="{00000000-0010-0000-0000-000003000000}" name="NitrogenCotton" totalsRowFunction="custom" dataDxfId="25">
      <totalsRowFormula>AVERAGE(Table3[NitrogenCotton])</totalsRowFormula>
    </tableColumn>
    <tableColumn id="4" xr3:uid="{00000000-0010-0000-0000-000004000000}" name="NitrogenSoybeans" totalsRowFunction="custom" dataDxfId="24">
      <totalsRowFormula>AVERAGE(Table3[NitrogenSoybeans])</totalsRowFormula>
    </tableColumn>
    <tableColumn id="5" xr3:uid="{00000000-0010-0000-0000-000005000000}" name="Nitrogen  Wheat" totalsRowFunction="custom" dataDxfId="23">
      <totalsRowFormula>AVERAGE(Table3[Nitrogen  Wheat])</totalsRowFormula>
    </tableColumn>
    <tableColumn id="6" xr3:uid="{00000000-0010-0000-0000-000006000000}" name="Nitrogen  Other " totalsRowFunction="custom" dataDxfId="22">
      <totalsRowFormula>AVERAGE(Table3[[Nitrogen  Other ]])</totalsRowFormula>
    </tableColumn>
    <tableColumn id="7" xr3:uid="{00000000-0010-0000-0000-000007000000}" name="Phosphate  Corn" totalsRowFunction="custom" dataDxfId="21">
      <totalsRowFormula>AVERAGE(Table3[Phosphate  Corn])</totalsRowFormula>
    </tableColumn>
    <tableColumn id="8" xr3:uid="{00000000-0010-0000-0000-000008000000}" name="PhosphateCotton" totalsRowFunction="custom" dataDxfId="20">
      <totalsRowFormula>AVERAGE(Table3[PhosphateCotton])</totalsRowFormula>
    </tableColumn>
    <tableColumn id="9" xr3:uid="{00000000-0010-0000-0000-000009000000}" name="PhosphateSoybeans" totalsRowFunction="custom" dataDxfId="19">
      <totalsRowFormula>AVERAGE(Table3[PhosphateSoybeans])</totalsRowFormula>
    </tableColumn>
    <tableColumn id="10" xr3:uid="{00000000-0010-0000-0000-00000A000000}" name="Phosphate  Wheat" totalsRowFunction="custom" dataDxfId="18">
      <totalsRowFormula>AVERAGE(Table3[Phosphate  Wheat])</totalsRowFormula>
    </tableColumn>
    <tableColumn id="11" xr3:uid="{00000000-0010-0000-0000-00000B000000}" name="Phosphate  Other " totalsRowFunction="custom" dataDxfId="17">
      <totalsRowFormula>AVERAGE(Table3[[Phosphate  Other ]])</totalsRowFormula>
    </tableColumn>
    <tableColumn id="12" xr3:uid="{00000000-0010-0000-0000-00000C000000}" name=" Potash  Corn" totalsRowFunction="custom" dataDxfId="16">
      <totalsRowFormula>AVERAGE(Table3[[ Potash  Corn]])</totalsRowFormula>
    </tableColumn>
    <tableColumn id="13" xr3:uid="{00000000-0010-0000-0000-00000D000000}" name=" PotashCotton" totalsRowFunction="custom" dataDxfId="15">
      <totalsRowFormula>AVERAGE(Table3[[ PotashCotton]])</totalsRowFormula>
    </tableColumn>
    <tableColumn id="14" xr3:uid="{00000000-0010-0000-0000-00000E000000}" name=" PotashSoybeans" totalsRowFunction="custom" dataDxfId="14">
      <totalsRowFormula>AVERAGE(Table3[[ PotashSoybeans]])</totalsRowFormula>
    </tableColumn>
    <tableColumn id="15" xr3:uid="{00000000-0010-0000-0000-00000F000000}" name=" Potash  Wheat" totalsRowFunction="custom" dataDxfId="13">
      <totalsRowFormula>AVERAGE(Table3[[ Potash  Wheat]])</totalsRowFormula>
    </tableColumn>
    <tableColumn id="16" xr3:uid="{00000000-0010-0000-0000-000010000000}" name=" Potash  Other " totalsRowFunction="custom" dataDxfId="12">
      <totalsRowFormula>AVERAGE(Table3[[ Potash  Other ]])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CF79B-7793-4C99-9533-59744F2A5AB9}" name="Table2" displayName="Table2" ref="A2:E602" totalsRowShown="0" headerRowDxfId="11" dataDxfId="10">
  <autoFilter ref="A2:E602" xr:uid="{9005E9CC-A165-4E63-A1B8-CBBDBF5DF7DF}">
    <filterColumn colId="3">
      <filters>
        <filter val="PHOSPHATE"/>
        <filter val="POTASH"/>
      </filters>
    </filterColumn>
  </autoFilter>
  <tableColumns count="5">
    <tableColumn id="1" xr3:uid="{C3194634-1E80-46D5-86DB-9EB8ACC8223F}" name="Sr. No" dataDxfId="9"/>
    <tableColumn id="2" xr3:uid="{1FBDCEEB-861D-4C6E-98BB-E7BF5D97B279}" name="Replication NO." dataDxfId="8"/>
    <tableColumn id="3" xr3:uid="{B8DB33C9-FBA2-4A80-80F8-98110D110139}" name="Factor 1_Plant Name" dataDxfId="7"/>
    <tableColumn id="4" xr3:uid="{5BF87293-2CAE-453D-B0E0-81619306E05C}" name="Factor 2_Fertilizer Content" dataDxfId="6"/>
    <tableColumn id="5" xr3:uid="{51D22516-C1CD-4BED-ABB3-E76774F0094E}" name="US Plant Nutrient(1,000 nutrient short ton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242345-D451-470C-B1E2-94CB02DC4001}" name="Table25" displayName="Table25" ref="A2:E402" totalsRowShown="0" headerRowDxfId="5" dataDxfId="4">
  <autoFilter ref="A2:E402" xr:uid="{9005E9CC-A165-4E63-A1B8-CBBDBF5DF7DF}"/>
  <tableColumns count="5">
    <tableColumn id="1" xr3:uid="{B08369E5-FFC9-405C-B96A-12B5BADAB821}" name="Sr. No" dataDxfId="3"/>
    <tableColumn id="2" xr3:uid="{34E61B01-D8DF-4791-82AD-230DA35E6256}" name="Replication NO." dataDxfId="2"/>
    <tableColumn id="3" xr3:uid="{53F524CA-FF7B-4AA9-9AEE-48635321ACA7}" name="Factor 1_Plant Name" dataDxfId="1"/>
    <tableColumn id="4" xr3:uid="{39EAA39A-E1DF-49C9-8A85-823CB1F84BEA}" name="Factor 2_Fertilizer Content" dataDxfId="0"/>
    <tableColumn id="5" xr3:uid="{CC1F7D3F-0DFB-40BE-A68C-08CD3DDE6A7C}" name="US Plant Nutrient(1,000 nutrient short ton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workbookViewId="0">
      <pane xSplit="8" ySplit="4" topLeftCell="I34" activePane="bottomRight" state="frozen"/>
      <selection pane="topRight" activeCell="I1" sqref="I1"/>
      <selection pane="bottomLeft" activeCell="A5" sqref="A5"/>
      <selection pane="bottomRight" activeCell="A4" sqref="A4"/>
    </sheetView>
  </sheetViews>
  <sheetFormatPr defaultRowHeight="15" x14ac:dyDescent="0.25"/>
  <cols>
    <col min="1" max="1" width="12.42578125" bestFit="1" customWidth="1"/>
    <col min="2" max="2" width="19.5703125" bestFit="1" customWidth="1"/>
    <col min="3" max="3" width="20.140625" bestFit="1" customWidth="1"/>
    <col min="4" max="4" width="22.7109375" bestFit="1" customWidth="1"/>
    <col min="5" max="5" width="21" bestFit="1" customWidth="1"/>
    <col min="6" max="6" width="20.42578125" bestFit="1" customWidth="1"/>
    <col min="7" max="7" width="20.140625" bestFit="1" customWidth="1"/>
    <col min="8" max="8" width="21.140625" bestFit="1" customWidth="1"/>
    <col min="9" max="9" width="23.7109375" bestFit="1" customWidth="1"/>
    <col min="10" max="10" width="22.140625" bestFit="1" customWidth="1"/>
    <col min="11" max="11" width="21.5703125" bestFit="1" customWidth="1"/>
    <col min="12" max="12" width="17" bestFit="1" customWidth="1"/>
    <col min="13" max="13" width="18.140625" bestFit="1" customWidth="1"/>
    <col min="14" max="14" width="20.5703125" bestFit="1" customWidth="1"/>
    <col min="15" max="15" width="19" bestFit="1" customWidth="1"/>
    <col min="16" max="16" width="18.5703125" bestFit="1" customWidth="1"/>
  </cols>
  <sheetData>
    <row r="1" spans="1:16" x14ac:dyDescent="0.25">
      <c r="A1" s="55"/>
      <c r="B1" s="55"/>
      <c r="C1" s="55"/>
      <c r="D1" s="55"/>
      <c r="E1" s="55"/>
      <c r="F1" s="55"/>
      <c r="G1" s="55"/>
      <c r="H1" s="55"/>
      <c r="I1" s="1"/>
      <c r="J1" s="1"/>
      <c r="K1" s="1"/>
      <c r="L1" s="1"/>
      <c r="M1" s="1"/>
      <c r="N1" s="1"/>
      <c r="O1" s="1"/>
      <c r="P1" s="1"/>
    </row>
    <row r="2" spans="1:16" ht="15.75" thickBot="1" x14ac:dyDescent="0.3">
      <c r="A2" s="56" t="s">
        <v>1</v>
      </c>
      <c r="B2" s="56"/>
      <c r="C2" s="56"/>
      <c r="D2" s="56"/>
      <c r="E2" s="56"/>
      <c r="F2" s="56"/>
      <c r="G2" s="56"/>
      <c r="H2" s="56"/>
    </row>
    <row r="3" spans="1:16" ht="15.75" thickBot="1" x14ac:dyDescent="0.3">
      <c r="A3" s="2"/>
      <c r="B3" s="63" t="s">
        <v>50</v>
      </c>
      <c r="C3" s="64"/>
      <c r="D3" s="64"/>
      <c r="E3" s="64"/>
      <c r="F3" s="65"/>
      <c r="G3" s="57" t="s">
        <v>51</v>
      </c>
      <c r="H3" s="58"/>
      <c r="I3" s="58"/>
      <c r="J3" s="58"/>
      <c r="K3" s="59"/>
      <c r="L3" s="60" t="s">
        <v>52</v>
      </c>
      <c r="M3" s="61"/>
      <c r="N3" s="61"/>
      <c r="O3" s="61"/>
      <c r="P3" s="62"/>
    </row>
    <row r="4" spans="1:16" x14ac:dyDescent="0.25">
      <c r="A4" s="2" t="s">
        <v>17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x14ac:dyDescent="0.25">
      <c r="A5" s="7">
        <v>1971</v>
      </c>
      <c r="B5" s="8">
        <v>3730.46191</v>
      </c>
      <c r="C5" s="8">
        <v>342.84847499999995</v>
      </c>
      <c r="D5" s="8">
        <v>61.953300000000006</v>
      </c>
      <c r="E5" s="8">
        <v>613.57080000000008</v>
      </c>
      <c r="F5" s="8">
        <v>3384.7655150000005</v>
      </c>
      <c r="G5" s="9">
        <v>2023.6031200000002</v>
      </c>
      <c r="H5" s="8">
        <v>163.70242499999998</v>
      </c>
      <c r="I5" s="8">
        <v>228.90114000000003</v>
      </c>
      <c r="J5" s="8">
        <v>375.13934</v>
      </c>
      <c r="K5" s="8">
        <v>2012</v>
      </c>
      <c r="L5" s="9">
        <v>1946.45696</v>
      </c>
      <c r="M5" s="8">
        <v>139.73391899999999</v>
      </c>
      <c r="N5" s="8">
        <v>281.72447999999997</v>
      </c>
      <c r="O5" s="10">
        <v>135.63144</v>
      </c>
      <c r="P5" s="11">
        <v>1727.8532009999999</v>
      </c>
    </row>
    <row r="6" spans="1:16" x14ac:dyDescent="0.25">
      <c r="A6" s="7">
        <v>1972</v>
      </c>
      <c r="B6" s="8">
        <v>3705.3552</v>
      </c>
      <c r="C6" s="8">
        <v>404.28753749999998</v>
      </c>
      <c r="D6" s="8">
        <v>72.173640000000006</v>
      </c>
      <c r="E6" s="8">
        <v>783.05938000000003</v>
      </c>
      <c r="F6" s="8">
        <v>3057.4242425000002</v>
      </c>
      <c r="G6" s="9">
        <v>1993.6422</v>
      </c>
      <c r="H6" s="8">
        <v>211.76966250000001</v>
      </c>
      <c r="I6" s="8">
        <v>285.41394000000003</v>
      </c>
      <c r="J6" s="8">
        <v>446.99182000000002</v>
      </c>
      <c r="K6" s="8">
        <v>1926</v>
      </c>
      <c r="L6" s="9">
        <v>1991.62842</v>
      </c>
      <c r="M6" s="8">
        <v>175.08625649999999</v>
      </c>
      <c r="N6" s="8">
        <v>370.47573</v>
      </c>
      <c r="O6" s="10">
        <v>156.50205</v>
      </c>
      <c r="P6" s="11">
        <v>1633.1075435000002</v>
      </c>
    </row>
    <row r="7" spans="1:16" x14ac:dyDescent="0.25">
      <c r="A7" s="7">
        <v>1973</v>
      </c>
      <c r="B7" s="8">
        <v>3830.1315299999997</v>
      </c>
      <c r="C7" s="8">
        <v>337.07669700000002</v>
      </c>
      <c r="D7" s="8">
        <v>95.002320000000012</v>
      </c>
      <c r="E7" s="8">
        <v>895.92048</v>
      </c>
      <c r="F7" s="8">
        <v>3136.968973</v>
      </c>
      <c r="G7" s="9">
        <v>1988.40256</v>
      </c>
      <c r="H7" s="8">
        <v>181.8916275</v>
      </c>
      <c r="I7" s="8">
        <v>380.00928000000005</v>
      </c>
      <c r="J7" s="8">
        <v>506.62170000000003</v>
      </c>
      <c r="K7" s="8">
        <v>2028</v>
      </c>
      <c r="L7" s="9">
        <v>2051.9852000000001</v>
      </c>
      <c r="M7" s="8">
        <v>150.87957299999999</v>
      </c>
      <c r="N7" s="8">
        <v>497.63120000000004</v>
      </c>
      <c r="O7" s="10">
        <v>181.31724</v>
      </c>
      <c r="P7" s="11">
        <v>1766.8867869999995</v>
      </c>
    </row>
    <row r="8" spans="1:16" x14ac:dyDescent="0.25">
      <c r="A8" s="7">
        <v>1974</v>
      </c>
      <c r="B8" s="8">
        <v>3772.8333499999999</v>
      </c>
      <c r="C8" s="8">
        <v>421.46231399999999</v>
      </c>
      <c r="D8" s="8">
        <v>86.590350000000001</v>
      </c>
      <c r="E8" s="8">
        <v>1078.4479199999998</v>
      </c>
      <c r="F8" s="8">
        <v>3797.8660660000005</v>
      </c>
      <c r="G8" s="9">
        <v>2101.9069500000001</v>
      </c>
      <c r="H8" s="8">
        <v>210.25237799999999</v>
      </c>
      <c r="I8" s="8">
        <v>301.22946000000002</v>
      </c>
      <c r="J8" s="8">
        <v>620.92456000000004</v>
      </c>
      <c r="K8" s="8">
        <v>1864</v>
      </c>
      <c r="L8" s="9">
        <v>2361.040825</v>
      </c>
      <c r="M8" s="8">
        <v>173.04441</v>
      </c>
      <c r="N8" s="8">
        <v>404.0883</v>
      </c>
      <c r="O8" s="10">
        <v>262.86279999999999</v>
      </c>
      <c r="P8" s="11">
        <v>1881.5636650000006</v>
      </c>
    </row>
    <row r="9" spans="1:16" x14ac:dyDescent="0.25">
      <c r="A9" s="7">
        <v>1975</v>
      </c>
      <c r="B9" s="8">
        <v>3884.7826500000001</v>
      </c>
      <c r="C9" s="8">
        <v>240.25716</v>
      </c>
      <c r="D9" s="8">
        <v>73.6965</v>
      </c>
      <c r="E9" s="8">
        <v>1085.3009999999999</v>
      </c>
      <c r="F9" s="8">
        <v>3316.7626899999991</v>
      </c>
      <c r="G9" s="9">
        <v>1963.2518600000001</v>
      </c>
      <c r="H9" s="8">
        <v>101.88419999999999</v>
      </c>
      <c r="I9" s="8">
        <v>272.95</v>
      </c>
      <c r="J9" s="8">
        <v>563.62249999999995</v>
      </c>
      <c r="K9" s="8">
        <v>1605</v>
      </c>
      <c r="L9" s="9">
        <v>2162.41093</v>
      </c>
      <c r="M9" s="8">
        <v>86.009219999999999</v>
      </c>
      <c r="N9" s="8">
        <v>376.12509999999997</v>
      </c>
      <c r="O9" s="10">
        <v>275.25749999999999</v>
      </c>
      <c r="P9" s="11">
        <v>1553.39725</v>
      </c>
    </row>
    <row r="10" spans="1:16" x14ac:dyDescent="0.25">
      <c r="A10" s="7">
        <v>1976</v>
      </c>
      <c r="B10" s="8">
        <v>5210.1978600000002</v>
      </c>
      <c r="C10" s="8">
        <v>353.4283125</v>
      </c>
      <c r="D10" s="8">
        <v>70.37660000000001</v>
      </c>
      <c r="E10" s="8">
        <v>1455.551475</v>
      </c>
      <c r="F10" s="8">
        <v>3322.0457525000002</v>
      </c>
      <c r="G10" s="9">
        <v>2550.3282000000004</v>
      </c>
      <c r="H10" s="8">
        <v>160.33718999999999</v>
      </c>
      <c r="I10" s="8">
        <v>295.58171999999996</v>
      </c>
      <c r="J10" s="8">
        <v>743.65374999999995</v>
      </c>
      <c r="K10" s="8">
        <v>1478</v>
      </c>
      <c r="L10" s="9">
        <v>2771.1028799999999</v>
      </c>
      <c r="M10" s="8">
        <v>120.54378</v>
      </c>
      <c r="N10" s="8">
        <v>452.42099999999999</v>
      </c>
      <c r="O10" s="10">
        <v>312.33457500000003</v>
      </c>
      <c r="P10" s="11">
        <v>1553.2977649999998</v>
      </c>
    </row>
    <row r="11" spans="1:16" x14ac:dyDescent="0.25">
      <c r="A11" s="7">
        <v>1977</v>
      </c>
      <c r="B11" s="8">
        <v>5181.1123200000002</v>
      </c>
      <c r="C11" s="8">
        <v>416.13039000000003</v>
      </c>
      <c r="D11" s="8">
        <v>113.23775999999999</v>
      </c>
      <c r="E11" s="8">
        <v>1278.9536000000001</v>
      </c>
      <c r="F11" s="8">
        <v>3657.9659299999994</v>
      </c>
      <c r="G11" s="9">
        <v>2523.0937599999997</v>
      </c>
      <c r="H11" s="8">
        <v>184.87844250000001</v>
      </c>
      <c r="I11" s="8">
        <v>437.91165000000001</v>
      </c>
      <c r="J11" s="8">
        <v>647.01780000000008</v>
      </c>
      <c r="K11" s="8">
        <v>1837</v>
      </c>
      <c r="L11" s="9">
        <v>2835.10736</v>
      </c>
      <c r="M11" s="8">
        <v>110.25677</v>
      </c>
      <c r="N11" s="8">
        <v>601.57560000000001</v>
      </c>
      <c r="O11" s="10">
        <v>293.72194999999999</v>
      </c>
      <c r="P11" s="11">
        <v>1993.13832</v>
      </c>
    </row>
    <row r="12" spans="1:16" x14ac:dyDescent="0.25">
      <c r="A12" s="7">
        <v>1978</v>
      </c>
      <c r="B12" s="8">
        <v>4888.2487499999997</v>
      </c>
      <c r="C12" s="8">
        <v>350.69512200000003</v>
      </c>
      <c r="D12" s="8">
        <v>137.50450000000001</v>
      </c>
      <c r="E12" s="8">
        <v>1046.58554</v>
      </c>
      <c r="F12" s="8">
        <v>3541.5660880000005</v>
      </c>
      <c r="G12" s="9">
        <v>2415.9465</v>
      </c>
      <c r="H12" s="8">
        <v>162.507465</v>
      </c>
      <c r="I12" s="8">
        <v>509.57549999999998</v>
      </c>
      <c r="J12" s="8">
        <v>438.82684999999998</v>
      </c>
      <c r="K12" s="8">
        <v>1569</v>
      </c>
      <c r="L12" s="9">
        <v>2646.27</v>
      </c>
      <c r="M12" s="8">
        <v>111.94958700000001</v>
      </c>
      <c r="N12" s="8">
        <v>722.14128000000005</v>
      </c>
      <c r="O12" s="10">
        <v>179.49007999999998</v>
      </c>
      <c r="P12" s="11">
        <v>1866.2490530000002</v>
      </c>
    </row>
    <row r="13" spans="1:16" x14ac:dyDescent="0.25">
      <c r="A13" s="7">
        <v>1979</v>
      </c>
      <c r="B13" s="8">
        <v>5274.3312000000005</v>
      </c>
      <c r="C13" s="8">
        <v>352.3028875</v>
      </c>
      <c r="D13" s="8">
        <v>148.53488000000002</v>
      </c>
      <c r="E13" s="8">
        <v>1253.4911999999999</v>
      </c>
      <c r="F13" s="8">
        <v>3686.0398325000001</v>
      </c>
      <c r="G13" s="9">
        <v>2499.2027699999999</v>
      </c>
      <c r="H13" s="8">
        <v>167.73</v>
      </c>
      <c r="I13" s="8">
        <v>624.13214000000005</v>
      </c>
      <c r="J13" s="8">
        <v>597.10464000000002</v>
      </c>
      <c r="K13" s="8">
        <v>1718</v>
      </c>
      <c r="L13" s="9">
        <v>2803.2093599999998</v>
      </c>
      <c r="M13" s="8">
        <v>83.026350000000008</v>
      </c>
      <c r="N13" s="8">
        <v>932.98471499999994</v>
      </c>
      <c r="O13" s="10">
        <v>276.41088000000002</v>
      </c>
      <c r="P13" s="11">
        <v>2148.8686950000001</v>
      </c>
    </row>
    <row r="14" spans="1:16" x14ac:dyDescent="0.25">
      <c r="A14" s="7">
        <v>1980</v>
      </c>
      <c r="B14" s="8">
        <v>5244.2831999999999</v>
      </c>
      <c r="C14" s="8">
        <v>371.48392799999993</v>
      </c>
      <c r="D14" s="8">
        <v>136.71314999999998</v>
      </c>
      <c r="E14" s="8">
        <v>1569.7108400000002</v>
      </c>
      <c r="F14" s="8">
        <v>4084.5088820000014</v>
      </c>
      <c r="G14" s="9">
        <v>2412.8745299999996</v>
      </c>
      <c r="H14" s="8">
        <v>160.45315199999999</v>
      </c>
      <c r="I14" s="8">
        <v>562.93650000000002</v>
      </c>
      <c r="J14" s="8">
        <v>677.40737999999999</v>
      </c>
      <c r="K14" s="8">
        <v>1618</v>
      </c>
      <c r="L14" s="9">
        <v>2927.2176899999999</v>
      </c>
      <c r="M14" s="8">
        <v>100.28322</v>
      </c>
      <c r="N14" s="8">
        <v>881.11800000000005</v>
      </c>
      <c r="O14" s="10">
        <v>290.83679999999998</v>
      </c>
      <c r="P14" s="11">
        <v>2045.6442900000006</v>
      </c>
    </row>
    <row r="15" spans="1:16" x14ac:dyDescent="0.25">
      <c r="A15" s="7">
        <v>1981</v>
      </c>
      <c r="B15" s="8">
        <v>5587.8251650000002</v>
      </c>
      <c r="C15" s="8">
        <v>386.91270000000003</v>
      </c>
      <c r="D15" s="8">
        <v>127.65627000000001</v>
      </c>
      <c r="E15" s="8">
        <v>1791.4953</v>
      </c>
      <c r="F15" s="8">
        <v>4029.9105649999988</v>
      </c>
      <c r="G15" s="9">
        <v>2535.5245499999996</v>
      </c>
      <c r="H15" s="8">
        <v>171.38799600000002</v>
      </c>
      <c r="I15" s="8">
        <v>512.65137000000004</v>
      </c>
      <c r="J15" s="8">
        <v>808.82041500000003</v>
      </c>
      <c r="K15" s="8">
        <v>1406</v>
      </c>
      <c r="L15" s="9">
        <v>3037.5836400000003</v>
      </c>
      <c r="M15" s="8">
        <v>98.877690000000001</v>
      </c>
      <c r="N15" s="8">
        <v>898.32190000000003</v>
      </c>
      <c r="O15" s="10">
        <v>414.77969999999999</v>
      </c>
      <c r="P15" s="11">
        <v>1869.9370699999999</v>
      </c>
    </row>
    <row r="16" spans="1:16" x14ac:dyDescent="0.25">
      <c r="A16" s="7">
        <v>1982</v>
      </c>
      <c r="B16" s="8">
        <v>5359.5870750000004</v>
      </c>
      <c r="C16" s="8">
        <v>330.26459399999999</v>
      </c>
      <c r="D16" s="8">
        <v>102.42738</v>
      </c>
      <c r="E16" s="8">
        <v>1780.6908000000001</v>
      </c>
      <c r="F16" s="8">
        <v>3410.1301509999994</v>
      </c>
      <c r="G16" s="9">
        <v>2341.1102000000001</v>
      </c>
      <c r="H16" s="8">
        <v>106.98712199999999</v>
      </c>
      <c r="I16" s="8">
        <v>411.48162000000002</v>
      </c>
      <c r="J16" s="8">
        <v>717.88139999999999</v>
      </c>
      <c r="K16" s="8">
        <v>1236</v>
      </c>
      <c r="L16" s="9">
        <v>2956.6748399999997</v>
      </c>
      <c r="M16" s="8">
        <v>93.599550000000008</v>
      </c>
      <c r="N16" s="8">
        <v>698.91624000000002</v>
      </c>
      <c r="O16" s="10">
        <v>318.19607999999999</v>
      </c>
      <c r="P16" s="11">
        <v>1563.5132900000001</v>
      </c>
    </row>
    <row r="17" spans="1:16" x14ac:dyDescent="0.25">
      <c r="A17" s="7">
        <v>1983</v>
      </c>
      <c r="B17" s="8">
        <v>3959.8699200000001</v>
      </c>
      <c r="C17" s="8">
        <v>218.290302</v>
      </c>
      <c r="D17" s="8">
        <v>114.8022</v>
      </c>
      <c r="E17" s="8">
        <v>1650.6504</v>
      </c>
      <c r="F17" s="8">
        <v>3183.3871779999995</v>
      </c>
      <c r="G17" s="9">
        <v>1695.71072</v>
      </c>
      <c r="H17" s="8">
        <v>78.470369999999988</v>
      </c>
      <c r="I17" s="8">
        <v>430.50824999999998</v>
      </c>
      <c r="J17" s="8">
        <v>715.28183999999999</v>
      </c>
      <c r="K17" s="8">
        <v>1218</v>
      </c>
      <c r="L17" s="9">
        <v>2124.1546749999998</v>
      </c>
      <c r="M17" s="8">
        <v>61.825139999999998</v>
      </c>
      <c r="N17" s="8">
        <v>714.3248000000001</v>
      </c>
      <c r="O17" s="10">
        <v>366.81119999999999</v>
      </c>
      <c r="P17" s="11">
        <v>1563.8841850000003</v>
      </c>
    </row>
    <row r="18" spans="1:16" x14ac:dyDescent="0.25">
      <c r="A18" s="7">
        <v>1984</v>
      </c>
      <c r="B18" s="8">
        <v>5390.7429900000006</v>
      </c>
      <c r="C18" s="8">
        <v>343.05541199999993</v>
      </c>
      <c r="D18" s="8">
        <v>115.1835</v>
      </c>
      <c r="E18" s="8">
        <v>1866.25828</v>
      </c>
      <c r="F18" s="8">
        <v>3376.9598180000003</v>
      </c>
      <c r="G18" s="9">
        <v>2277.353325</v>
      </c>
      <c r="H18" s="8">
        <v>128.39500799999999</v>
      </c>
      <c r="I18" s="8">
        <v>467.5095</v>
      </c>
      <c r="J18" s="8">
        <v>718.06584499999997</v>
      </c>
      <c r="K18" s="8">
        <v>1310</v>
      </c>
      <c r="L18" s="9">
        <v>2872.9688099999998</v>
      </c>
      <c r="M18" s="8">
        <v>94.512991999999997</v>
      </c>
      <c r="N18" s="8">
        <v>780.5376</v>
      </c>
      <c r="O18" s="10">
        <v>309.72283000000004</v>
      </c>
      <c r="P18" s="11">
        <v>1739.0577680000001</v>
      </c>
    </row>
    <row r="19" spans="1:16" x14ac:dyDescent="0.25">
      <c r="A19" s="7">
        <v>1985</v>
      </c>
      <c r="B19" s="8">
        <v>5666.1192000000001</v>
      </c>
      <c r="C19" s="8">
        <v>324.81184000000002</v>
      </c>
      <c r="D19" s="8">
        <v>80.490750000000006</v>
      </c>
      <c r="E19" s="8">
        <v>1745.7825</v>
      </c>
      <c r="F19" s="8">
        <v>3675.3957099999998</v>
      </c>
      <c r="G19" s="9">
        <v>2152.9584</v>
      </c>
      <c r="H19" s="8">
        <v>122.87289999999999</v>
      </c>
      <c r="I19" s="8">
        <v>380.04259999999999</v>
      </c>
      <c r="J19" s="8">
        <v>634.83000000000004</v>
      </c>
      <c r="K19" s="8">
        <v>1367</v>
      </c>
      <c r="L19" s="9">
        <v>2768.8046400000003</v>
      </c>
      <c r="M19" s="8">
        <v>94.451864</v>
      </c>
      <c r="N19" s="8">
        <v>681.80399999999997</v>
      </c>
      <c r="O19" s="10">
        <v>217.65600000000001</v>
      </c>
      <c r="P19" s="11">
        <v>1789.7834959999996</v>
      </c>
    </row>
    <row r="20" spans="1:16" x14ac:dyDescent="0.25">
      <c r="A20" s="7">
        <v>1986</v>
      </c>
      <c r="B20" s="8">
        <v>4807.4597999999996</v>
      </c>
      <c r="C20" s="8">
        <v>309.37367999999998</v>
      </c>
      <c r="D20" s="8">
        <v>81.519750000000002</v>
      </c>
      <c r="E20" s="8">
        <v>1708.0116</v>
      </c>
      <c r="F20" s="8">
        <v>3518.0351700000001</v>
      </c>
      <c r="G20" s="9">
        <v>1964.38788</v>
      </c>
      <c r="H20" s="8">
        <v>110.4906</v>
      </c>
      <c r="I20" s="8">
        <v>376.50047499999999</v>
      </c>
      <c r="J20" s="8">
        <v>622.66751999999997</v>
      </c>
      <c r="K20" s="8">
        <v>1104</v>
      </c>
      <c r="L20" s="9">
        <v>2330.8896</v>
      </c>
      <c r="M20" s="8">
        <v>97.934850000000012</v>
      </c>
      <c r="N20" s="8">
        <v>664.536925</v>
      </c>
      <c r="O20" s="10">
        <v>301.24423999999999</v>
      </c>
      <c r="P20" s="11">
        <v>1657.9943850000004</v>
      </c>
    </row>
    <row r="21" spans="1:16" x14ac:dyDescent="0.25">
      <c r="A21" s="7">
        <v>1987</v>
      </c>
      <c r="B21" s="8">
        <v>4194.4319999999998</v>
      </c>
      <c r="C21" s="8">
        <v>323.97675200000003</v>
      </c>
      <c r="D21" s="8">
        <v>87.27</v>
      </c>
      <c r="E21" s="8">
        <v>1632.5591999999999</v>
      </c>
      <c r="F21" s="8">
        <v>3971.2620480000005</v>
      </c>
      <c r="G21" s="12">
        <v>1675.8530000000001</v>
      </c>
      <c r="H21" s="13">
        <v>107.50704800000001</v>
      </c>
      <c r="I21" s="13">
        <v>341.8075</v>
      </c>
      <c r="J21" s="13">
        <v>576.00374999999997</v>
      </c>
      <c r="K21" s="13">
        <v>1307</v>
      </c>
      <c r="L21" s="12">
        <v>2110.125</v>
      </c>
      <c r="M21" s="13">
        <v>77.199210000000008</v>
      </c>
      <c r="N21" s="13">
        <v>610.89</v>
      </c>
      <c r="O21" s="14">
        <v>212.29852499999998</v>
      </c>
      <c r="P21" s="11">
        <v>1825.987265</v>
      </c>
    </row>
    <row r="22" spans="1:16" x14ac:dyDescent="0.25">
      <c r="A22" s="7">
        <v>1988</v>
      </c>
      <c r="B22" s="8">
        <v>4499.4560650000003</v>
      </c>
      <c r="C22" s="8">
        <v>390.46176000000003</v>
      </c>
      <c r="D22" s="8">
        <v>103.55839999999999</v>
      </c>
      <c r="E22" s="8">
        <v>1740.4502399999999</v>
      </c>
      <c r="F22" s="8">
        <v>3777.6735349999999</v>
      </c>
      <c r="G22" s="12">
        <v>1855.7843849999999</v>
      </c>
      <c r="H22" s="13">
        <v>141.917832</v>
      </c>
      <c r="I22" s="13">
        <v>367.16159999999996</v>
      </c>
      <c r="J22" s="13">
        <v>642.51184499999999</v>
      </c>
      <c r="K22" s="13">
        <v>1121</v>
      </c>
      <c r="L22" s="12">
        <v>2244.81855</v>
      </c>
      <c r="M22" s="13">
        <v>78.092352000000005</v>
      </c>
      <c r="N22" s="13">
        <v>720.49580000000003</v>
      </c>
      <c r="O22" s="14">
        <v>306.67571999999996</v>
      </c>
      <c r="P22" s="11">
        <v>1622.6175779999996</v>
      </c>
    </row>
    <row r="23" spans="1:16" x14ac:dyDescent="0.25">
      <c r="A23" s="7">
        <v>1989</v>
      </c>
      <c r="B23" s="8">
        <v>4601.0403432000003</v>
      </c>
      <c r="C23" s="8">
        <v>347.08168100000006</v>
      </c>
      <c r="D23" s="8">
        <v>93.054600000000008</v>
      </c>
      <c r="E23" s="8">
        <v>1923.8026499999999</v>
      </c>
      <c r="F23" s="8">
        <v>3627.6207258000004</v>
      </c>
      <c r="G23" s="12">
        <v>1798.1750303999997</v>
      </c>
      <c r="H23" s="13">
        <v>120.05204400000001</v>
      </c>
      <c r="I23" s="13">
        <v>391.68079999999998</v>
      </c>
      <c r="J23" s="13">
        <v>751.21007499999996</v>
      </c>
      <c r="K23" s="13">
        <v>1056</v>
      </c>
      <c r="L23" s="12">
        <v>2195.991</v>
      </c>
      <c r="M23" s="13">
        <v>67.75424000000001</v>
      </c>
      <c r="N23" s="13">
        <v>720.10880000000009</v>
      </c>
      <c r="O23" s="14">
        <v>317.18609999999995</v>
      </c>
      <c r="P23" s="11">
        <v>1536.9598599999999</v>
      </c>
    </row>
    <row r="24" spans="1:16" x14ac:dyDescent="0.25">
      <c r="A24" s="7">
        <v>1990</v>
      </c>
      <c r="B24" s="8">
        <v>4748.42742</v>
      </c>
      <c r="C24" s="8">
        <v>419.46495700000003</v>
      </c>
      <c r="D24" s="8">
        <v>117.90180000000001</v>
      </c>
      <c r="E24" s="8">
        <v>1800.1015049999999</v>
      </c>
      <c r="F24" s="8">
        <v>3990.1043180000006</v>
      </c>
      <c r="G24" s="12">
        <v>1891.3605</v>
      </c>
      <c r="H24" s="13">
        <v>133.11251800000002</v>
      </c>
      <c r="I24" s="13">
        <v>325.96379999999999</v>
      </c>
      <c r="J24" s="13">
        <v>722.97576000000004</v>
      </c>
      <c r="K24" s="13">
        <v>1271</v>
      </c>
      <c r="L24" s="12">
        <v>2398.6901400000002</v>
      </c>
      <c r="M24" s="13">
        <v>89.955908499999993</v>
      </c>
      <c r="N24" s="13">
        <v>678.80227500000001</v>
      </c>
      <c r="O24" s="14">
        <v>322.86738000000003</v>
      </c>
      <c r="P24" s="11">
        <v>1712.4842964999998</v>
      </c>
    </row>
    <row r="25" spans="1:16" x14ac:dyDescent="0.25">
      <c r="A25" s="7">
        <v>1991</v>
      </c>
      <c r="B25" s="8">
        <v>4715.0380800000003</v>
      </c>
      <c r="C25" s="8">
        <v>477.34983700000004</v>
      </c>
      <c r="D25" s="8">
        <v>118.12</v>
      </c>
      <c r="E25" s="8">
        <v>1733.6688000000001</v>
      </c>
      <c r="F25" s="8">
        <v>4242.7232829999994</v>
      </c>
      <c r="G25" s="12">
        <v>1868.3946000000001</v>
      </c>
      <c r="H25" s="13">
        <v>151.481638</v>
      </c>
      <c r="I25" s="13">
        <v>311.83679999999998</v>
      </c>
      <c r="J25" s="13">
        <v>679.48631999999998</v>
      </c>
      <c r="K25" s="13">
        <v>1189</v>
      </c>
      <c r="L25" s="12">
        <v>2245.4913149999998</v>
      </c>
      <c r="M25" s="13">
        <v>98.013397500000011</v>
      </c>
      <c r="N25" s="13">
        <v>568.45249999999999</v>
      </c>
      <c r="O25" s="14">
        <v>300.5958</v>
      </c>
      <c r="P25" s="11">
        <v>1788.6469875000003</v>
      </c>
    </row>
    <row r="26" spans="1:16" x14ac:dyDescent="0.25">
      <c r="A26" s="7">
        <v>1992</v>
      </c>
      <c r="B26" s="8">
        <v>4886.9472999999998</v>
      </c>
      <c r="C26" s="8">
        <v>466.048</v>
      </c>
      <c r="D26" s="13">
        <v>97.564499999999995</v>
      </c>
      <c r="E26" s="13">
        <v>1889.3422800000001</v>
      </c>
      <c r="F26" s="8">
        <v>4106.4979199999998</v>
      </c>
      <c r="G26" s="12">
        <v>1854.1758</v>
      </c>
      <c r="H26" s="13">
        <v>152.5248</v>
      </c>
      <c r="I26" s="13">
        <v>319.59765000000004</v>
      </c>
      <c r="J26" s="13">
        <v>687.95328000000006</v>
      </c>
      <c r="K26" s="13">
        <v>1204</v>
      </c>
      <c r="L26" s="12">
        <v>2256.4295999999999</v>
      </c>
      <c r="M26" s="13">
        <v>139.61579999999998</v>
      </c>
      <c r="N26" s="13">
        <v>584.20440000000008</v>
      </c>
      <c r="O26" s="14">
        <v>253.64664000000002</v>
      </c>
      <c r="P26" s="11">
        <v>1807.8035599999998</v>
      </c>
    </row>
    <row r="27" spans="1:16" x14ac:dyDescent="0.25">
      <c r="A27" s="7">
        <v>1993</v>
      </c>
      <c r="B27" s="8">
        <v>4368.8339249999999</v>
      </c>
      <c r="C27" s="8">
        <v>508.3036975</v>
      </c>
      <c r="D27" s="13">
        <v>84.188999999999993</v>
      </c>
      <c r="E27" s="13">
        <v>1986.0633600000001</v>
      </c>
      <c r="F27" s="8">
        <v>4445.1480174999997</v>
      </c>
      <c r="G27" s="12">
        <v>1681.4756</v>
      </c>
      <c r="H27" s="13">
        <v>170.532027</v>
      </c>
      <c r="I27" s="13">
        <v>304.28309999999999</v>
      </c>
      <c r="J27" s="13">
        <v>736.11360000000002</v>
      </c>
      <c r="K27" s="13">
        <v>1543</v>
      </c>
      <c r="L27" s="12">
        <v>2053.875575</v>
      </c>
      <c r="M27" s="13">
        <v>140.295852</v>
      </c>
      <c r="N27" s="13">
        <v>641.33977500000003</v>
      </c>
      <c r="O27" s="14">
        <v>214.69979999999998</v>
      </c>
      <c r="P27" s="15">
        <v>2090.5119979999999</v>
      </c>
    </row>
    <row r="28" spans="1:16" x14ac:dyDescent="0.25">
      <c r="A28" s="7">
        <v>1994</v>
      </c>
      <c r="B28" s="8">
        <v>4603.1573099999996</v>
      </c>
      <c r="C28" s="8">
        <v>648.96073000000001</v>
      </c>
      <c r="D28" s="13">
        <v>100.21375</v>
      </c>
      <c r="E28" s="13">
        <v>2050.3216050000001</v>
      </c>
      <c r="F28" s="8">
        <v>5240.1466049999999</v>
      </c>
      <c r="G28" s="12">
        <v>1740.3929699999999</v>
      </c>
      <c r="H28" s="13">
        <v>159.29036100000002</v>
      </c>
      <c r="I28" s="13">
        <v>289.84899999999999</v>
      </c>
      <c r="J28" s="13">
        <v>726.35342500000002</v>
      </c>
      <c r="K28" s="13">
        <v>1605</v>
      </c>
      <c r="L28" s="12">
        <v>2118.9312</v>
      </c>
      <c r="M28" s="13">
        <v>139.60201749999999</v>
      </c>
      <c r="N28" s="13">
        <v>624.40875000000005</v>
      </c>
      <c r="O28" s="14">
        <v>227.22726999999998</v>
      </c>
      <c r="P28" s="15">
        <v>2157.9307625000006</v>
      </c>
    </row>
    <row r="29" spans="1:16" x14ac:dyDescent="0.25">
      <c r="A29" s="7">
        <v>1995</v>
      </c>
      <c r="B29" s="8">
        <v>4158.1475</v>
      </c>
      <c r="C29" s="8">
        <v>699.69010500000002</v>
      </c>
      <c r="D29" s="13">
        <v>154.24737500000001</v>
      </c>
      <c r="E29" s="13">
        <v>1954.7073</v>
      </c>
      <c r="F29" s="8">
        <v>4751.7077200000003</v>
      </c>
      <c r="G29" s="12">
        <v>1495.7460000000001</v>
      </c>
      <c r="H29" s="13">
        <v>203.85405600000001</v>
      </c>
      <c r="I29" s="13">
        <v>371.69549999999998</v>
      </c>
      <c r="J29" s="13">
        <v>718.62714000000005</v>
      </c>
      <c r="K29" s="13">
        <v>1635</v>
      </c>
      <c r="L29" s="12">
        <v>1800.4349999999999</v>
      </c>
      <c r="M29" s="13">
        <v>172.70027999999999</v>
      </c>
      <c r="N29" s="13">
        <v>664.859375</v>
      </c>
      <c r="O29" s="13">
        <v>236.43144000000001</v>
      </c>
      <c r="P29" s="15">
        <v>2253.9739049999998</v>
      </c>
    </row>
    <row r="30" spans="1:16" x14ac:dyDescent="0.25">
      <c r="A30" s="7">
        <v>1996</v>
      </c>
      <c r="B30" s="8">
        <v>4828.57564</v>
      </c>
      <c r="C30" s="8">
        <v>563.38975000000005</v>
      </c>
      <c r="D30" s="13">
        <v>115.569</v>
      </c>
      <c r="E30" s="13">
        <v>2207.6233510449365</v>
      </c>
      <c r="F30" s="8">
        <v>4588.2422589550624</v>
      </c>
      <c r="G30" s="12">
        <v>1794.8787</v>
      </c>
      <c r="H30" s="13">
        <v>193.16220000000001</v>
      </c>
      <c r="I30" s="13">
        <v>393.25562500000001</v>
      </c>
      <c r="J30" s="13">
        <v>755.45567284761319</v>
      </c>
      <c r="K30" s="13">
        <v>1391</v>
      </c>
      <c r="L30" s="12">
        <v>2136.4428199999998</v>
      </c>
      <c r="M30" s="13">
        <v>229.67278250000001</v>
      </c>
      <c r="N30" s="13">
        <v>736.75237500000003</v>
      </c>
      <c r="O30" s="13">
        <v>263.09505598504091</v>
      </c>
      <c r="P30" s="15">
        <v>1891.5369665149594</v>
      </c>
    </row>
    <row r="31" spans="1:16" x14ac:dyDescent="0.25">
      <c r="A31" s="7">
        <v>1997</v>
      </c>
      <c r="B31" s="8">
        <v>4792.0801500000007</v>
      </c>
      <c r="C31" s="8">
        <v>525.34440000000006</v>
      </c>
      <c r="D31" s="13">
        <v>175.01249999999999</v>
      </c>
      <c r="E31" s="13">
        <v>2043.25234</v>
      </c>
      <c r="F31" s="8">
        <v>4816.4106099999999</v>
      </c>
      <c r="G31" s="12">
        <v>1782.7878600000001</v>
      </c>
      <c r="H31" s="13">
        <v>218.82401000000002</v>
      </c>
      <c r="I31" s="13">
        <v>490.03500000000003</v>
      </c>
      <c r="J31" s="13">
        <v>718.622345</v>
      </c>
      <c r="K31" s="13">
        <v>1402</v>
      </c>
      <c r="L31" s="12">
        <v>2171.51604</v>
      </c>
      <c r="M31" s="13">
        <v>286.15982000000002</v>
      </c>
      <c r="N31" s="13">
        <v>1016.4725999999999</v>
      </c>
      <c r="O31" s="13">
        <v>256.69900000000001</v>
      </c>
      <c r="P31" s="15">
        <v>1693.65254</v>
      </c>
    </row>
    <row r="32" spans="1:16" x14ac:dyDescent="0.25">
      <c r="A32" s="7">
        <v>1998</v>
      </c>
      <c r="B32" s="8">
        <v>4845.5198399999999</v>
      </c>
      <c r="C32" s="8">
        <v>472.48740000000004</v>
      </c>
      <c r="D32" s="13">
        <v>140.808875</v>
      </c>
      <c r="E32" s="13">
        <v>2016.5013300000001</v>
      </c>
      <c r="F32" s="8">
        <v>4837.2825550000007</v>
      </c>
      <c r="G32" s="12">
        <v>1666.2283200000002</v>
      </c>
      <c r="H32" s="13">
        <v>212.13720000000001</v>
      </c>
      <c r="I32" s="13">
        <v>414.86399999999998</v>
      </c>
      <c r="J32" s="13">
        <v>735.48577</v>
      </c>
      <c r="K32" s="13">
        <v>1586</v>
      </c>
      <c r="L32" s="12">
        <v>2011.9651200000001</v>
      </c>
      <c r="M32" s="13">
        <v>259.07791250000002</v>
      </c>
      <c r="N32" s="13">
        <v>787.59337500000004</v>
      </c>
      <c r="O32" s="13">
        <v>278.59157999999996</v>
      </c>
      <c r="P32" s="15">
        <v>1963.4720125000001</v>
      </c>
    </row>
    <row r="33" spans="1:16" x14ac:dyDescent="0.25">
      <c r="A33" s="7">
        <v>1999</v>
      </c>
      <c r="B33" s="13">
        <v>4649.8143300000002</v>
      </c>
      <c r="C33" s="13">
        <v>543.64469999999994</v>
      </c>
      <c r="D33" s="13">
        <v>139.34970000000001</v>
      </c>
      <c r="E33" s="13">
        <v>1907.177805</v>
      </c>
      <c r="F33" s="8">
        <v>5211.9134649999996</v>
      </c>
      <c r="G33" s="12">
        <v>1579.66686</v>
      </c>
      <c r="H33" s="13">
        <v>215.00367</v>
      </c>
      <c r="I33" s="13">
        <v>440.90540000000004</v>
      </c>
      <c r="J33" s="13">
        <v>669.12438374999988</v>
      </c>
      <c r="K33" s="13">
        <v>1349</v>
      </c>
      <c r="L33" s="12">
        <v>1936.0551149999999</v>
      </c>
      <c r="M33" s="13">
        <v>309.37920000000003</v>
      </c>
      <c r="N33" s="13">
        <v>805.13159999999993</v>
      </c>
      <c r="O33" s="13">
        <v>246.32350124999991</v>
      </c>
      <c r="P33" s="15">
        <v>1656.6105837500002</v>
      </c>
    </row>
    <row r="34" spans="1:16" x14ac:dyDescent="0.25">
      <c r="A34" s="7">
        <v>2000</v>
      </c>
      <c r="B34" s="13">
        <v>4908.5024800000001</v>
      </c>
      <c r="C34" s="13">
        <v>566.68083999999999</v>
      </c>
      <c r="D34" s="13">
        <v>160.41455999999999</v>
      </c>
      <c r="E34" s="13">
        <v>1890.5133799987204</v>
      </c>
      <c r="F34" s="8">
        <v>4807.6887400012783</v>
      </c>
      <c r="G34" s="12">
        <v>1763.3485800000001</v>
      </c>
      <c r="H34" s="13">
        <v>224.84133</v>
      </c>
      <c r="I34" s="13">
        <v>427.77215999999999</v>
      </c>
      <c r="J34" s="13">
        <v>635.91663314201674</v>
      </c>
      <c r="K34" s="13">
        <v>1262</v>
      </c>
      <c r="L34" s="12">
        <v>1920.2379900000001</v>
      </c>
      <c r="M34" s="13">
        <v>304.28836999999999</v>
      </c>
      <c r="N34" s="13">
        <v>761.96915999999999</v>
      </c>
      <c r="O34" s="13">
        <v>227.92897093510683</v>
      </c>
      <c r="P34" s="15">
        <v>1757.1755090648935</v>
      </c>
    </row>
    <row r="35" spans="1:16" x14ac:dyDescent="0.25">
      <c r="A35" s="7">
        <v>2001</v>
      </c>
      <c r="B35" s="13">
        <v>4249.3021479999998</v>
      </c>
      <c r="C35" s="13">
        <v>569</v>
      </c>
      <c r="D35" s="13">
        <v>148</v>
      </c>
      <c r="E35" s="13">
        <v>1763.7024825000003</v>
      </c>
      <c r="F35" s="8">
        <v>4804.6953695000011</v>
      </c>
      <c r="G35" s="12">
        <v>1552.2661799999998</v>
      </c>
      <c r="H35" s="13">
        <v>236</v>
      </c>
      <c r="I35" s="13">
        <v>448</v>
      </c>
      <c r="J35" s="13">
        <v>616.5677162500001</v>
      </c>
      <c r="K35" s="13">
        <v>1404</v>
      </c>
      <c r="L35" s="12">
        <v>1888.3244520000003</v>
      </c>
      <c r="M35" s="13">
        <v>314</v>
      </c>
      <c r="N35" s="13">
        <v>793</v>
      </c>
      <c r="O35" s="13">
        <v>220.81370000000004</v>
      </c>
      <c r="P35" s="15">
        <v>1709.9618479999999</v>
      </c>
    </row>
    <row r="36" spans="1:16" x14ac:dyDescent="0.25">
      <c r="A36" s="7">
        <v>2002</v>
      </c>
      <c r="B36" s="13">
        <v>4719.7267199999997</v>
      </c>
      <c r="C36" s="13">
        <v>508</v>
      </c>
      <c r="D36" s="13">
        <v>155</v>
      </c>
      <c r="E36" s="13">
        <v>1751.2640700000004</v>
      </c>
      <c r="F36" s="8">
        <v>4875.3092099999994</v>
      </c>
      <c r="G36" s="12">
        <v>1700.9964</v>
      </c>
      <c r="H36" s="13">
        <v>204</v>
      </c>
      <c r="I36" s="13">
        <v>470</v>
      </c>
      <c r="J36" s="13">
        <v>632.09882999999991</v>
      </c>
      <c r="K36" s="13">
        <v>1623</v>
      </c>
      <c r="L36" s="12">
        <v>2074.2107999999998</v>
      </c>
      <c r="M36" s="13">
        <v>281</v>
      </c>
      <c r="N36" s="13">
        <v>952</v>
      </c>
      <c r="O36" s="13">
        <v>227.03035499999993</v>
      </c>
      <c r="P36" s="15">
        <v>1447.3588450000007</v>
      </c>
    </row>
    <row r="37" spans="1:16" x14ac:dyDescent="0.25">
      <c r="A37" s="7">
        <v>2003</v>
      </c>
      <c r="B37" s="13">
        <v>4710.1478399999996</v>
      </c>
      <c r="C37" s="13">
        <v>508</v>
      </c>
      <c r="D37" s="13">
        <v>154</v>
      </c>
      <c r="E37" s="13">
        <v>1804.1927877892174</v>
      </c>
      <c r="F37" s="8">
        <v>4915.7593722107831</v>
      </c>
      <c r="G37" s="12">
        <v>1681.5256650000001</v>
      </c>
      <c r="H37" s="13">
        <v>210</v>
      </c>
      <c r="I37" s="13">
        <v>448</v>
      </c>
      <c r="J37" s="13">
        <v>651.20284815527691</v>
      </c>
      <c r="K37" s="13">
        <v>1299.7714868447229</v>
      </c>
      <c r="L37" s="12">
        <v>1962.5616</v>
      </c>
      <c r="M37" s="13">
        <v>280</v>
      </c>
      <c r="N37" s="13">
        <v>827</v>
      </c>
      <c r="O37" s="13">
        <v>233.89192761787518</v>
      </c>
      <c r="P37" s="15">
        <v>1646.9464723821243</v>
      </c>
    </row>
    <row r="38" spans="1:16" x14ac:dyDescent="0.25">
      <c r="A38" s="7">
        <v>2004</v>
      </c>
      <c r="B38" s="13">
        <v>4792.0524429555544</v>
      </c>
      <c r="C38" s="13">
        <v>502</v>
      </c>
      <c r="D38" s="13">
        <v>156</v>
      </c>
      <c r="E38" s="13">
        <v>1957</v>
      </c>
      <c r="F38" s="11">
        <v>5620.7475570444449</v>
      </c>
      <c r="G38" s="13">
        <v>1728.8695208888887</v>
      </c>
      <c r="H38" s="13">
        <v>206</v>
      </c>
      <c r="I38" s="13">
        <v>464</v>
      </c>
      <c r="J38" s="13">
        <v>697</v>
      </c>
      <c r="K38" s="13">
        <v>1728.6304791111115</v>
      </c>
      <c r="L38" s="12">
        <v>2076.2472170999999</v>
      </c>
      <c r="M38" s="13">
        <v>277</v>
      </c>
      <c r="N38" s="13">
        <v>873</v>
      </c>
      <c r="O38" s="13">
        <v>216</v>
      </c>
      <c r="P38" s="15">
        <v>2077.8527829000004</v>
      </c>
    </row>
    <row r="39" spans="1:16" x14ac:dyDescent="0.25">
      <c r="A39" s="7">
        <v>2005</v>
      </c>
      <c r="B39" s="13">
        <v>5023</v>
      </c>
      <c r="C39" s="13">
        <v>517</v>
      </c>
      <c r="D39" s="13">
        <v>151</v>
      </c>
      <c r="E39" s="13">
        <v>1625</v>
      </c>
      <c r="F39" s="11">
        <v>5020.5</v>
      </c>
      <c r="G39" s="13">
        <v>1781</v>
      </c>
      <c r="H39" s="13">
        <v>211</v>
      </c>
      <c r="I39" s="13">
        <v>448</v>
      </c>
      <c r="J39" s="13">
        <v>581</v>
      </c>
      <c r="K39" s="13">
        <v>1617</v>
      </c>
      <c r="L39" s="12">
        <v>1847</v>
      </c>
      <c r="M39" s="13">
        <v>285</v>
      </c>
      <c r="N39" s="13">
        <v>860</v>
      </c>
      <c r="O39" s="13">
        <v>198</v>
      </c>
      <c r="P39" s="15">
        <v>1983.3999999999996</v>
      </c>
    </row>
    <row r="40" spans="1:16" x14ac:dyDescent="0.25">
      <c r="A40" s="16">
        <v>2006</v>
      </c>
      <c r="B40" s="13">
        <v>4690</v>
      </c>
      <c r="C40" s="13">
        <v>559</v>
      </c>
      <c r="D40" s="13">
        <v>109</v>
      </c>
      <c r="E40" s="13">
        <v>1430</v>
      </c>
      <c r="F40" s="11">
        <v>5255.7999999999993</v>
      </c>
      <c r="G40" s="13">
        <v>1696</v>
      </c>
      <c r="H40" s="13">
        <v>228</v>
      </c>
      <c r="I40" s="13">
        <v>400</v>
      </c>
      <c r="J40" s="13">
        <v>538</v>
      </c>
      <c r="K40" s="15">
        <v>1616.6000000000004</v>
      </c>
      <c r="L40" s="13">
        <v>1901</v>
      </c>
      <c r="M40" s="13">
        <v>304</v>
      </c>
      <c r="N40" s="13">
        <v>755</v>
      </c>
      <c r="O40" s="13">
        <v>138</v>
      </c>
      <c r="P40" s="15">
        <v>1624.8999999999996</v>
      </c>
    </row>
    <row r="41" spans="1:16" x14ac:dyDescent="0.25">
      <c r="A41" s="16">
        <v>2007</v>
      </c>
      <c r="B41" s="13">
        <v>5714</v>
      </c>
      <c r="C41" s="13">
        <v>441</v>
      </c>
      <c r="D41" s="13">
        <v>121</v>
      </c>
      <c r="E41" s="13">
        <v>1689</v>
      </c>
      <c r="F41" s="11">
        <v>5229.3999999999996</v>
      </c>
      <c r="G41" s="13">
        <v>2066</v>
      </c>
      <c r="H41" s="13">
        <v>156</v>
      </c>
      <c r="I41" s="13">
        <v>367</v>
      </c>
      <c r="J41" s="13">
        <v>601</v>
      </c>
      <c r="K41" s="13">
        <v>1381.6999999999998</v>
      </c>
      <c r="L41" s="12">
        <v>2279</v>
      </c>
      <c r="M41" s="13">
        <v>192</v>
      </c>
      <c r="N41" s="13">
        <v>703</v>
      </c>
      <c r="O41" s="13">
        <v>184</v>
      </c>
      <c r="P41" s="15">
        <v>1775.3000000000002</v>
      </c>
    </row>
    <row r="42" spans="1:16" x14ac:dyDescent="0.25">
      <c r="A42" s="16">
        <v>2008</v>
      </c>
      <c r="B42" s="17">
        <v>5224</v>
      </c>
      <c r="C42" s="18">
        <v>421</v>
      </c>
      <c r="D42" s="18">
        <v>120</v>
      </c>
      <c r="E42" s="18">
        <v>1647</v>
      </c>
      <c r="F42" s="11">
        <v>5149.2999999999993</v>
      </c>
      <c r="G42" s="18">
        <v>1888</v>
      </c>
      <c r="H42" s="18">
        <v>157</v>
      </c>
      <c r="I42" s="18">
        <v>436</v>
      </c>
      <c r="J42" s="18">
        <v>731</v>
      </c>
      <c r="K42" s="19">
        <v>1034.8999999999996</v>
      </c>
      <c r="L42" s="18">
        <v>1687</v>
      </c>
      <c r="M42" s="18">
        <v>202</v>
      </c>
      <c r="N42" s="18">
        <v>750</v>
      </c>
      <c r="O42" s="18">
        <v>175</v>
      </c>
      <c r="P42" s="19">
        <v>1845.6999999999998</v>
      </c>
    </row>
    <row r="43" spans="1:16" x14ac:dyDescent="0.25">
      <c r="A43" s="16">
        <v>2009</v>
      </c>
      <c r="B43" s="17">
        <v>4875.1361567999993</v>
      </c>
      <c r="C43" s="18">
        <v>344.72105395</v>
      </c>
      <c r="D43" s="18">
        <v>101.49179040000001</v>
      </c>
      <c r="E43" s="18">
        <v>1393.8106</v>
      </c>
      <c r="F43" s="11">
        <v>4746.24039885</v>
      </c>
      <c r="G43" s="18">
        <v>1424.8505474999999</v>
      </c>
      <c r="H43" s="18">
        <v>98.843508750000012</v>
      </c>
      <c r="I43" s="18">
        <v>307.28684249999998</v>
      </c>
      <c r="J43" s="18">
        <v>479.23147999999998</v>
      </c>
      <c r="K43" s="19">
        <v>827.28762125000003</v>
      </c>
      <c r="L43" s="18">
        <v>1457.2417860000003</v>
      </c>
      <c r="M43" s="18">
        <v>109.89778800000001</v>
      </c>
      <c r="N43" s="18">
        <v>511.17660000000001</v>
      </c>
      <c r="O43" s="18">
        <v>94.250520000000009</v>
      </c>
      <c r="P43" s="19">
        <v>907.93330599999945</v>
      </c>
    </row>
    <row r="44" spans="1:16" x14ac:dyDescent="0.25">
      <c r="A44" s="16">
        <v>2010</v>
      </c>
      <c r="B44" s="20">
        <v>5610.2375000000002</v>
      </c>
      <c r="C44" s="21">
        <v>380.24910000000006</v>
      </c>
      <c r="D44" s="21">
        <v>111.46176</v>
      </c>
      <c r="E44" s="21">
        <v>1330.9510499999999</v>
      </c>
      <c r="F44" s="11">
        <v>4800.10059</v>
      </c>
      <c r="G44" s="21">
        <v>1933.425</v>
      </c>
      <c r="H44" s="21">
        <v>139.47954000000001</v>
      </c>
      <c r="I44" s="21">
        <v>551.89052000000004</v>
      </c>
      <c r="J44" s="21">
        <v>457.61858999999998</v>
      </c>
      <c r="K44" s="22">
        <v>1078.9863499999997</v>
      </c>
      <c r="L44" s="21">
        <v>1990.849375</v>
      </c>
      <c r="M44" s="21">
        <v>188.31384</v>
      </c>
      <c r="N44" s="21">
        <v>774.04</v>
      </c>
      <c r="O44" s="21">
        <v>89.99991</v>
      </c>
      <c r="P44" s="22">
        <v>1416.5968750000002</v>
      </c>
    </row>
    <row r="45" spans="1:16" x14ac:dyDescent="0.25">
      <c r="A45" s="45"/>
      <c r="B45">
        <f>AVERAGE(Table3[Nitrogen   Corn])</f>
        <v>4747.522932773888</v>
      </c>
      <c r="C45">
        <f>AVERAGE(Table3[NitrogenCotton])</f>
        <v>430.13840287375007</v>
      </c>
      <c r="D45">
        <f>AVERAGE(Table3[NitrogenSoybeans])</f>
        <v>115.80226151000002</v>
      </c>
      <c r="E45">
        <f>AVERAGE(Table3[Nitrogen  Wheat])</f>
        <v>1619.2871812833218</v>
      </c>
      <c r="F45">
        <f>AVERAGE(Table3[[Nitrogen  Other ]])</f>
        <v>4225.3001715590381</v>
      </c>
      <c r="G45">
        <f>AVERAGE(Table3[Phosphate  Corn])</f>
        <v>1933.5124760947224</v>
      </c>
      <c r="H45">
        <f>AVERAGE(Table3[PhosphateCotton])</f>
        <v>166.86435803125002</v>
      </c>
      <c r="I45">
        <f>AVERAGE(Table3[PhosphateSoybeans])</f>
        <v>400.20551106250002</v>
      </c>
      <c r="J45">
        <f>AVERAGE(Table3[Phosphate  Wheat])</f>
        <v>639.38542060362249</v>
      </c>
      <c r="K45">
        <f>AVERAGE(Table3[[Phosphate  Other ]])</f>
        <v>1445.7218984301458</v>
      </c>
      <c r="L45">
        <f>AVERAGE(Table3[[ Potash  Corn]])</f>
        <v>2233.7986381274995</v>
      </c>
      <c r="M45">
        <f>AVERAGE(Table3[[ PotashCotton]])</f>
        <v>165.42584854999998</v>
      </c>
      <c r="N45">
        <f>AVERAGE(Table3[[ PotashSoybeans]])</f>
        <v>691.960606375</v>
      </c>
      <c r="O45">
        <f>AVERAGE(Table3[[ Potash  Wheat]])</f>
        <v>243.35071401970058</v>
      </c>
      <c r="P45">
        <f>AVERAGE(Table3[[ Potash  Other ]])</f>
        <v>1763.7372679278001</v>
      </c>
    </row>
    <row r="46" spans="1:16" s="46" customFormat="1" x14ac:dyDescent="0.25">
      <c r="B46" s="47">
        <f>SUM(B5:B44)</f>
        <v>189900.91731095553</v>
      </c>
      <c r="C46" s="47">
        <f t="shared" ref="C46:H46" si="0">SUM(C5:C44)</f>
        <v>17205.536114950002</v>
      </c>
      <c r="D46" s="47">
        <f t="shared" si="0"/>
        <v>4632.0904604000007</v>
      </c>
      <c r="E46" s="47">
        <f t="shared" si="0"/>
        <v>64771.487251332874</v>
      </c>
      <c r="F46" s="47">
        <f t="shared" si="0"/>
        <v>169012.00686236151</v>
      </c>
      <c r="G46" s="47">
        <f t="shared" si="0"/>
        <v>77340.499043788892</v>
      </c>
      <c r="H46" s="47">
        <f t="shared" si="0"/>
        <v>6674.574321250001</v>
      </c>
      <c r="I46" s="47">
        <f>SUM(I5:I44)</f>
        <v>16008.2204425</v>
      </c>
      <c r="J46" s="47">
        <f t="shared" ref="J46:P46" si="1">SUM(J5:J44)</f>
        <v>25575.416824144901</v>
      </c>
      <c r="K46" s="47">
        <f t="shared" si="1"/>
        <v>57828.875937205827</v>
      </c>
      <c r="L46" s="47">
        <f t="shared" si="1"/>
        <v>89351.945525099989</v>
      </c>
      <c r="M46" s="47">
        <f t="shared" si="1"/>
        <v>6617.0339419999991</v>
      </c>
      <c r="N46" s="47">
        <f t="shared" si="1"/>
        <v>27678.424255000002</v>
      </c>
      <c r="O46" s="47">
        <f t="shared" si="1"/>
        <v>9734.0285607880232</v>
      </c>
      <c r="P46" s="47">
        <f t="shared" si="1"/>
        <v>70549.490717111999</v>
      </c>
    </row>
    <row r="49" spans="1:15" x14ac:dyDescent="0.25">
      <c r="A49" t="s">
        <v>18</v>
      </c>
      <c r="C49" s="5" t="str">
        <f>B4</f>
        <v>Nitrogen   Corn</v>
      </c>
      <c r="D49">
        <f>Table3[[#Totals],[Nitrogen   Corn]]</f>
        <v>4747.522932773888</v>
      </c>
      <c r="E49">
        <f>_xlfn.STDEV.S(B5:B44)</f>
        <v>549.89011765383452</v>
      </c>
      <c r="G49" t="str">
        <f>Table3[[#Headers],[Phosphate  Corn]]</f>
        <v>Phosphate  Corn</v>
      </c>
      <c r="H49">
        <f>Table3[[#Totals],[Phosphate  Corn]]</f>
        <v>1933.5124760947224</v>
      </c>
      <c r="I49">
        <f>_xlfn.STDEV.S(Table3[Phosphate  Corn])</f>
        <v>305.20727545327128</v>
      </c>
      <c r="K49" t="str">
        <f>Table3[[#Headers],[ Potash  Corn]]</f>
        <v xml:space="preserve"> Potash  Corn</v>
      </c>
      <c r="L49">
        <f>Table3[[#Totals],[ Potash  Corn]]</f>
        <v>2233.7986381274995</v>
      </c>
      <c r="M49">
        <f>_xlfn.STDEV.S(Table3[[ Potash  Corn]])</f>
        <v>382.30488366698347</v>
      </c>
    </row>
    <row r="50" spans="1:15" x14ac:dyDescent="0.25">
      <c r="C50" s="6" t="str">
        <f>C4</f>
        <v>NitrogenCotton</v>
      </c>
      <c r="D50">
        <f>Table3[[#Totals],[NitrogenCotton]]</f>
        <v>430.13840287375007</v>
      </c>
      <c r="E50">
        <f>_xlfn.STDEV.S(C5:C44)</f>
        <v>106.91824606277669</v>
      </c>
      <c r="G50" t="str">
        <f>Table3[[#Headers],[PhosphateCotton]]</f>
        <v>PhosphateCotton</v>
      </c>
      <c r="H50">
        <f>Table3[[#Totals],[PhosphateCotton]]</f>
        <v>166.86435803125002</v>
      </c>
      <c r="I50">
        <f>_xlfn.STDEV.S(Table3[PhosphateCotton])</f>
        <v>41.788084038299218</v>
      </c>
      <c r="K50" t="str">
        <f>Table3[[#Headers],[ PotashCotton]]</f>
        <v xml:space="preserve"> PotashCotton</v>
      </c>
      <c r="L50">
        <f>Table3[[#Totals],[ PotashCotton]]</f>
        <v>165.42584854999998</v>
      </c>
      <c r="M50">
        <f>_xlfn.STDEV.S(Table3[[ PotashCotton]])</f>
        <v>82.59744599717439</v>
      </c>
    </row>
    <row r="51" spans="1:15" x14ac:dyDescent="0.25">
      <c r="C51" s="5" t="str">
        <f>D4</f>
        <v>NitrogenSoybeans</v>
      </c>
      <c r="D51">
        <f>Table3[[#Totals],[NitrogenSoybeans]]</f>
        <v>115.80226151000002</v>
      </c>
      <c r="E51">
        <f>_xlfn.STDEV.S(D5:D44)</f>
        <v>29.122429328520269</v>
      </c>
      <c r="G51" t="str">
        <f>Table3[[#Headers],[PhosphateSoybeans]]</f>
        <v>PhosphateSoybeans</v>
      </c>
      <c r="H51">
        <f>Table3[[#Totals],[PhosphateSoybeans]]</f>
        <v>400.20551106250002</v>
      </c>
      <c r="I51">
        <f>_xlfn.STDEV.S(Table3[PhosphateSoybeans])</f>
        <v>87.15109527732983</v>
      </c>
      <c r="K51" t="str">
        <f>Table3[[#Headers],[ PotashSoybeans]]</f>
        <v xml:space="preserve"> PotashSoybeans</v>
      </c>
      <c r="L51">
        <f>Table3[[#Totals],[ PotashSoybeans]]</f>
        <v>691.960606375</v>
      </c>
      <c r="M51">
        <f>_xlfn.STDEV.S(Table3[[ PotashSoybeans]])</f>
        <v>166.82623241609812</v>
      </c>
    </row>
    <row r="52" spans="1:15" x14ac:dyDescent="0.25">
      <c r="C52" s="5" t="str">
        <f>E4</f>
        <v>Nitrogen  Wheat</v>
      </c>
      <c r="D52">
        <f>Table3[[#Totals],[Nitrogen  Wheat]]</f>
        <v>1619.2871812833218</v>
      </c>
      <c r="E52">
        <f>_xlfn.STDEV.S(E5:E44)</f>
        <v>372.83743613892017</v>
      </c>
      <c r="G52" t="str">
        <f>Table3[[#Headers],[Phosphate  Wheat]]</f>
        <v>Phosphate  Wheat</v>
      </c>
      <c r="H52">
        <f>Table3[[#Totals],[Phosphate  Wheat]]</f>
        <v>639.38542060362249</v>
      </c>
      <c r="I52">
        <f>_xlfn.STDEV.S(Table3[Phosphate  Wheat])</f>
        <v>101.13457325015716</v>
      </c>
      <c r="K52" t="str">
        <f>Table3[[#Headers],[ Potash  Wheat]]</f>
        <v xml:space="preserve"> Potash  Wheat</v>
      </c>
      <c r="L52">
        <f>Table3[[#Totals],[ Potash  Wheat]]</f>
        <v>243.35071401970058</v>
      </c>
      <c r="M52">
        <f>_xlfn.STDEV.S(Table3[[ Potash  Wheat]])</f>
        <v>69.759776569700207</v>
      </c>
    </row>
    <row r="53" spans="1:15" x14ac:dyDescent="0.25">
      <c r="C53" s="5" t="str">
        <f>F4</f>
        <v xml:space="preserve">Nitrogen  Other </v>
      </c>
      <c r="D53">
        <f>Table3[[#Totals],[Nitrogen  Other ]]</f>
        <v>4225.3001715590381</v>
      </c>
      <c r="E53">
        <f>_xlfn.STDEV.S(F5:F44)</f>
        <v>734.58804664028605</v>
      </c>
      <c r="G53" t="str">
        <f>Table3[[#Headers],[Phosphate  Other ]]</f>
        <v xml:space="preserve">Phosphate  Other </v>
      </c>
      <c r="H53">
        <f>Table3[[#Totals],[Phosphate  Other ]]</f>
        <v>1445.7218984301458</v>
      </c>
      <c r="I53">
        <f>_xlfn.STDEV.S(Table3[[Phosphate  Other ]])</f>
        <v>279.89616935056489</v>
      </c>
      <c r="K53" t="str">
        <f>Table3[[#Headers],[ Potash  Other ]]</f>
        <v xml:space="preserve"> Potash  Other </v>
      </c>
      <c r="L53">
        <f>Table3[[#Totals],[ Potash  Other ]]</f>
        <v>1763.7372679278001</v>
      </c>
      <c r="M53">
        <f>_xlfn.STDEV.S(Table3[[ Potash  Other ]])</f>
        <v>243.56491362764615</v>
      </c>
    </row>
    <row r="55" spans="1:15" x14ac:dyDescent="0.25">
      <c r="G55" t="s">
        <v>20</v>
      </c>
      <c r="H55" t="s">
        <v>25</v>
      </c>
      <c r="K55" t="s">
        <v>28</v>
      </c>
    </row>
    <row r="56" spans="1:15" x14ac:dyDescent="0.25">
      <c r="F56" t="s">
        <v>21</v>
      </c>
      <c r="G56">
        <f>(H49-L49)/SQRT((I49*I49+M49*M49)/40)</f>
        <v>-3.8822745774022134</v>
      </c>
      <c r="H56">
        <f>(I56+J56)^2/(((I56)^2+(J56)^2)/39)</f>
        <v>66.196269717105352</v>
      </c>
      <c r="I56">
        <f>(I49*I49/40)^2</f>
        <v>5423249.0065984307</v>
      </c>
      <c r="J56">
        <f>(M49*M49/40)^2</f>
        <v>13351172.304151906</v>
      </c>
      <c r="K56">
        <v>1.6</v>
      </c>
      <c r="L56">
        <v>3.9</v>
      </c>
      <c r="N56">
        <f>H49-L49+K56*SQRT(SQRT(I56)+SQRT(J56))</f>
        <v>-176.52936697014218</v>
      </c>
      <c r="O56">
        <f>H49-L49-K56*SQRT(SQRT(I56)+SQRT(J56))</f>
        <v>-424.04295709541213</v>
      </c>
    </row>
    <row r="57" spans="1:15" x14ac:dyDescent="0.25">
      <c r="F57" t="s">
        <v>0</v>
      </c>
      <c r="G57">
        <f t="shared" ref="G57:G60" si="2">(H50-L50)/SQRT((I50*I50+M50*M50)/40)</f>
        <v>9.828522685232377E-2</v>
      </c>
      <c r="H57">
        <f t="shared" ref="H57:H60" si="3">(I57+J57)^2/(((I57)^2+(J57)^2)/39)</f>
        <v>44.08836020072048</v>
      </c>
      <c r="I57">
        <f t="shared" ref="I57:I60" si="4">(I50*I50/40)^2</f>
        <v>1905.8549964695646</v>
      </c>
      <c r="J57">
        <f t="shared" ref="J57:J60" si="5">(M50*M50/40)^2</f>
        <v>29090.185593460257</v>
      </c>
      <c r="K57">
        <v>1.6</v>
      </c>
      <c r="N57">
        <f>H49-L49+L56*SQRT(SQRT(I56)+SQRT(J56))</f>
        <v>1.3710259323955256</v>
      </c>
      <c r="O57">
        <f>H49-L49-L56*SQRT(SQRT(I56)+SQRT(J56))</f>
        <v>-601.94334999794978</v>
      </c>
    </row>
    <row r="58" spans="1:15" x14ac:dyDescent="0.25">
      <c r="F58" t="s">
        <v>22</v>
      </c>
      <c r="G58">
        <f t="shared" si="2"/>
        <v>-9.8035984625961667</v>
      </c>
      <c r="H58">
        <f t="shared" si="3"/>
        <v>44.777317083017941</v>
      </c>
      <c r="I58">
        <f t="shared" si="4"/>
        <v>36055.491103953238</v>
      </c>
      <c r="J58">
        <f t="shared" si="5"/>
        <v>484102.56612786208</v>
      </c>
      <c r="K58">
        <v>1.6</v>
      </c>
    </row>
    <row r="59" spans="1:15" x14ac:dyDescent="0.25">
      <c r="F59" t="s">
        <v>23</v>
      </c>
      <c r="G59">
        <f t="shared" si="2"/>
        <v>20.386939339356768</v>
      </c>
      <c r="H59">
        <f t="shared" si="3"/>
        <v>55.79626775456763</v>
      </c>
      <c r="I59">
        <f t="shared" si="4"/>
        <v>65385.071399971494</v>
      </c>
      <c r="J59">
        <f t="shared" si="5"/>
        <v>14801.316356208978</v>
      </c>
      <c r="K59">
        <v>1.6</v>
      </c>
    </row>
    <row r="60" spans="1:15" x14ac:dyDescent="0.25">
      <c r="F60" t="s">
        <v>24</v>
      </c>
      <c r="G60">
        <f t="shared" si="2"/>
        <v>-5.4208224131387857</v>
      </c>
      <c r="H60">
        <f t="shared" si="3"/>
        <v>72.659178028148688</v>
      </c>
      <c r="I60">
        <f t="shared" si="4"/>
        <v>3835904.9427318154</v>
      </c>
      <c r="J60">
        <f t="shared" si="5"/>
        <v>2199575.7585521112</v>
      </c>
      <c r="K60">
        <v>1.6</v>
      </c>
    </row>
    <row r="61" spans="1:15" x14ac:dyDescent="0.25">
      <c r="G61" t="s">
        <v>19</v>
      </c>
    </row>
    <row r="62" spans="1:15" x14ac:dyDescent="0.25">
      <c r="G62">
        <f>_xlfn.T.DIST(G56,H56,1)</f>
        <v>1.2091834664551557E-4</v>
      </c>
    </row>
    <row r="63" spans="1:15" x14ac:dyDescent="0.25">
      <c r="G63">
        <f t="shared" ref="G63:G66" si="6">_xlfn.T.DIST(G57,H57,1)</f>
        <v>0.53892390050676797</v>
      </c>
    </row>
    <row r="64" spans="1:15" x14ac:dyDescent="0.25">
      <c r="B64" t="s">
        <v>26</v>
      </c>
      <c r="G64">
        <f t="shared" si="6"/>
        <v>6.1368119078134203E-13</v>
      </c>
    </row>
    <row r="65" spans="2:7" x14ac:dyDescent="0.25">
      <c r="B65" t="s">
        <v>27</v>
      </c>
      <c r="G65">
        <v>0</v>
      </c>
    </row>
    <row r="66" spans="2:7" x14ac:dyDescent="0.25">
      <c r="G66">
        <f t="shared" si="6"/>
        <v>3.7596890103811583E-7</v>
      </c>
    </row>
  </sheetData>
  <mergeCells count="5">
    <mergeCell ref="A1:H1"/>
    <mergeCell ref="A2:H2"/>
    <mergeCell ref="B3:F3"/>
    <mergeCell ref="G3:K3"/>
    <mergeCell ref="L3:P3"/>
  </mergeCells>
  <conditionalFormatting sqref="G62:G66">
    <cfRule type="cellIs" dxfId="31" priority="1" operator="lessThan">
      <formula>0.5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AD2F-6384-444A-AAB5-E018DBD148EA}">
  <dimension ref="A1:J602"/>
  <sheetViews>
    <sheetView workbookViewId="0">
      <pane xSplit="13" ySplit="2" topLeftCell="N588" activePane="bottomRight" state="frozen"/>
      <selection pane="topRight" activeCell="M1" sqref="M1"/>
      <selection pane="bottomLeft" activeCell="A3" sqref="A3"/>
      <selection pane="bottomRight" activeCell="B43" sqref="B43:E602"/>
    </sheetView>
  </sheetViews>
  <sheetFormatPr defaultRowHeight="15" x14ac:dyDescent="0.25"/>
  <cols>
    <col min="1" max="1" width="10.85546875" style="51" bestFit="1" customWidth="1"/>
    <col min="2" max="2" width="8" style="51" customWidth="1"/>
    <col min="3" max="3" width="9.42578125" customWidth="1"/>
    <col min="4" max="4" width="13.140625" customWidth="1"/>
    <col min="5" max="5" width="18" customWidth="1"/>
    <col min="8" max="8" width="10.7109375" bestFit="1" customWidth="1"/>
    <col min="9" max="9" width="11.5703125" bestFit="1" customWidth="1"/>
  </cols>
  <sheetData>
    <row r="1" spans="1:10" s="25" customFormat="1" ht="45" customHeight="1" x14ac:dyDescent="0.25">
      <c r="A1" s="48"/>
      <c r="B1" s="48"/>
    </row>
    <row r="2" spans="1:10" s="25" customFormat="1" ht="60" x14ac:dyDescent="0.25">
      <c r="A2" s="49" t="s">
        <v>49</v>
      </c>
      <c r="B2" s="50" t="s">
        <v>48</v>
      </c>
      <c r="C2" s="25" t="s">
        <v>40</v>
      </c>
      <c r="D2" s="25" t="s">
        <v>41</v>
      </c>
      <c r="E2" s="25" t="s">
        <v>39</v>
      </c>
    </row>
    <row r="3" spans="1:10" hidden="1" x14ac:dyDescent="0.25">
      <c r="B3">
        <v>1</v>
      </c>
      <c r="C3" t="s">
        <v>34</v>
      </c>
      <c r="D3" t="s">
        <v>31</v>
      </c>
      <c r="E3" s="27">
        <v>3730.46191</v>
      </c>
      <c r="J3" s="27"/>
    </row>
    <row r="4" spans="1:10" hidden="1" x14ac:dyDescent="0.25">
      <c r="B4">
        <v>2</v>
      </c>
      <c r="C4" t="s">
        <v>34</v>
      </c>
      <c r="D4" t="s">
        <v>31</v>
      </c>
      <c r="E4" s="28">
        <v>3705.3552</v>
      </c>
      <c r="J4" s="28"/>
    </row>
    <row r="5" spans="1:10" hidden="1" x14ac:dyDescent="0.25">
      <c r="B5">
        <v>3</v>
      </c>
      <c r="C5" t="s">
        <v>34</v>
      </c>
      <c r="D5" t="s">
        <v>31</v>
      </c>
      <c r="E5" s="27">
        <v>3830.1315299999997</v>
      </c>
      <c r="J5" s="27"/>
    </row>
    <row r="6" spans="1:10" hidden="1" x14ac:dyDescent="0.25">
      <c r="B6">
        <v>4</v>
      </c>
      <c r="C6" t="s">
        <v>34</v>
      </c>
      <c r="D6" t="s">
        <v>31</v>
      </c>
      <c r="E6" s="28">
        <v>3772.8333499999999</v>
      </c>
      <c r="J6" s="28"/>
    </row>
    <row r="7" spans="1:10" hidden="1" x14ac:dyDescent="0.25">
      <c r="A7" s="52"/>
      <c r="B7">
        <v>5</v>
      </c>
      <c r="C7" t="s">
        <v>34</v>
      </c>
      <c r="D7" t="s">
        <v>31</v>
      </c>
      <c r="E7" s="27">
        <v>3884.7826500000001</v>
      </c>
      <c r="J7" s="27"/>
    </row>
    <row r="8" spans="1:10" hidden="1" x14ac:dyDescent="0.25">
      <c r="A8" s="52"/>
      <c r="B8">
        <v>6</v>
      </c>
      <c r="C8" t="s">
        <v>34</v>
      </c>
      <c r="D8" t="s">
        <v>31</v>
      </c>
      <c r="E8" s="28">
        <v>5210.1978600000002</v>
      </c>
      <c r="J8" s="28"/>
    </row>
    <row r="9" spans="1:10" hidden="1" x14ac:dyDescent="0.25">
      <c r="A9" s="52"/>
      <c r="B9">
        <v>7</v>
      </c>
      <c r="C9" t="s">
        <v>34</v>
      </c>
      <c r="D9" t="s">
        <v>31</v>
      </c>
      <c r="E9" s="27">
        <v>5181.1123200000002</v>
      </c>
      <c r="J9" s="27"/>
    </row>
    <row r="10" spans="1:10" hidden="1" x14ac:dyDescent="0.25">
      <c r="A10" s="52"/>
      <c r="B10">
        <v>8</v>
      </c>
      <c r="C10" t="s">
        <v>34</v>
      </c>
      <c r="D10" t="s">
        <v>31</v>
      </c>
      <c r="E10" s="28">
        <v>4888.2487499999997</v>
      </c>
      <c r="J10" s="28"/>
    </row>
    <row r="11" spans="1:10" hidden="1" x14ac:dyDescent="0.25">
      <c r="A11" s="52"/>
      <c r="B11">
        <v>9</v>
      </c>
      <c r="C11" t="s">
        <v>34</v>
      </c>
      <c r="D11" t="s">
        <v>31</v>
      </c>
      <c r="E11" s="27">
        <v>5274.3312000000005</v>
      </c>
      <c r="J11" s="27"/>
    </row>
    <row r="12" spans="1:10" hidden="1" x14ac:dyDescent="0.25">
      <c r="A12" s="53"/>
      <c r="B12">
        <v>10</v>
      </c>
      <c r="C12" t="s">
        <v>34</v>
      </c>
      <c r="D12" t="s">
        <v>31</v>
      </c>
      <c r="E12" s="28">
        <v>5244.2831999999999</v>
      </c>
      <c r="J12" s="28"/>
    </row>
    <row r="13" spans="1:10" hidden="1" x14ac:dyDescent="0.25">
      <c r="A13" s="53"/>
      <c r="B13">
        <v>11</v>
      </c>
      <c r="C13" t="s">
        <v>34</v>
      </c>
      <c r="D13" t="s">
        <v>31</v>
      </c>
      <c r="E13" s="27">
        <v>5587.8251650000002</v>
      </c>
      <c r="J13" s="27"/>
    </row>
    <row r="14" spans="1:10" hidden="1" x14ac:dyDescent="0.25">
      <c r="A14" s="53"/>
      <c r="B14">
        <v>12</v>
      </c>
      <c r="C14" t="s">
        <v>34</v>
      </c>
      <c r="D14" t="s">
        <v>31</v>
      </c>
      <c r="E14" s="28">
        <v>5359.5870750000004</v>
      </c>
      <c r="J14" s="28"/>
    </row>
    <row r="15" spans="1:10" hidden="1" x14ac:dyDescent="0.25">
      <c r="A15" s="53"/>
      <c r="B15">
        <v>13</v>
      </c>
      <c r="C15" t="s">
        <v>34</v>
      </c>
      <c r="D15" t="s">
        <v>31</v>
      </c>
      <c r="E15" s="27">
        <v>3959.8699200000001</v>
      </c>
      <c r="J15" s="27"/>
    </row>
    <row r="16" spans="1:10" hidden="1" x14ac:dyDescent="0.25">
      <c r="A16" s="53"/>
      <c r="B16">
        <v>14</v>
      </c>
      <c r="C16" t="s">
        <v>34</v>
      </c>
      <c r="D16" t="s">
        <v>31</v>
      </c>
      <c r="E16" s="28">
        <v>5390.7429900000006</v>
      </c>
      <c r="J16" s="28"/>
    </row>
    <row r="17" spans="1:10" hidden="1" x14ac:dyDescent="0.25">
      <c r="A17" s="53"/>
      <c r="B17">
        <v>15</v>
      </c>
      <c r="C17" t="s">
        <v>34</v>
      </c>
      <c r="D17" t="s">
        <v>31</v>
      </c>
      <c r="E17" s="27">
        <v>5666.1192000000001</v>
      </c>
      <c r="J17" s="27"/>
    </row>
    <row r="18" spans="1:10" hidden="1" x14ac:dyDescent="0.25">
      <c r="A18" s="53"/>
      <c r="B18">
        <v>16</v>
      </c>
      <c r="C18" t="s">
        <v>34</v>
      </c>
      <c r="D18" t="s">
        <v>31</v>
      </c>
      <c r="E18" s="28">
        <v>4807.4597999999996</v>
      </c>
      <c r="J18" s="28"/>
    </row>
    <row r="19" spans="1:10" hidden="1" x14ac:dyDescent="0.25">
      <c r="A19" s="53"/>
      <c r="B19">
        <v>17</v>
      </c>
      <c r="C19" t="s">
        <v>34</v>
      </c>
      <c r="D19" t="s">
        <v>31</v>
      </c>
      <c r="E19" s="27">
        <v>4194.4319999999998</v>
      </c>
      <c r="J19" s="27"/>
    </row>
    <row r="20" spans="1:10" hidden="1" x14ac:dyDescent="0.25">
      <c r="A20" s="53"/>
      <c r="B20">
        <v>18</v>
      </c>
      <c r="C20" t="s">
        <v>34</v>
      </c>
      <c r="D20" t="s">
        <v>31</v>
      </c>
      <c r="E20" s="28">
        <v>4499.4560650000003</v>
      </c>
      <c r="J20" s="28"/>
    </row>
    <row r="21" spans="1:10" hidden="1" x14ac:dyDescent="0.25">
      <c r="A21" s="54"/>
      <c r="B21">
        <v>19</v>
      </c>
      <c r="C21" t="s">
        <v>34</v>
      </c>
      <c r="D21" t="s">
        <v>31</v>
      </c>
      <c r="E21" s="27">
        <v>4601.0403432000003</v>
      </c>
      <c r="J21" s="27"/>
    </row>
    <row r="22" spans="1:10" hidden="1" x14ac:dyDescent="0.25">
      <c r="B22">
        <v>20</v>
      </c>
      <c r="C22" t="s">
        <v>34</v>
      </c>
      <c r="D22" t="s">
        <v>31</v>
      </c>
      <c r="E22" s="28">
        <v>4748.42742</v>
      </c>
      <c r="J22" s="28"/>
    </row>
    <row r="23" spans="1:10" hidden="1" x14ac:dyDescent="0.25">
      <c r="B23">
        <v>21</v>
      </c>
      <c r="C23" t="s">
        <v>34</v>
      </c>
      <c r="D23" t="s">
        <v>31</v>
      </c>
      <c r="E23" s="27">
        <v>4715.0380800000003</v>
      </c>
      <c r="J23" s="27"/>
    </row>
    <row r="24" spans="1:10" hidden="1" x14ac:dyDescent="0.25">
      <c r="B24">
        <v>22</v>
      </c>
      <c r="C24" t="s">
        <v>34</v>
      </c>
      <c r="D24" t="s">
        <v>31</v>
      </c>
      <c r="E24" s="28">
        <v>4886.9472999999998</v>
      </c>
      <c r="J24" s="28"/>
    </row>
    <row r="25" spans="1:10" hidden="1" x14ac:dyDescent="0.25">
      <c r="B25">
        <v>23</v>
      </c>
      <c r="C25" t="s">
        <v>34</v>
      </c>
      <c r="D25" t="s">
        <v>31</v>
      </c>
      <c r="E25" s="27">
        <v>4368.8339249999999</v>
      </c>
      <c r="J25" s="27"/>
    </row>
    <row r="26" spans="1:10" hidden="1" x14ac:dyDescent="0.25">
      <c r="B26">
        <v>24</v>
      </c>
      <c r="C26" t="s">
        <v>34</v>
      </c>
      <c r="D26" t="s">
        <v>31</v>
      </c>
      <c r="E26" s="28">
        <v>4603.1573099999996</v>
      </c>
      <c r="J26" s="28"/>
    </row>
    <row r="27" spans="1:10" hidden="1" x14ac:dyDescent="0.25">
      <c r="B27">
        <v>25</v>
      </c>
      <c r="C27" t="s">
        <v>34</v>
      </c>
      <c r="D27" t="s">
        <v>31</v>
      </c>
      <c r="E27" s="27">
        <v>4158.1475</v>
      </c>
      <c r="J27" s="27"/>
    </row>
    <row r="28" spans="1:10" hidden="1" x14ac:dyDescent="0.25">
      <c r="B28">
        <v>26</v>
      </c>
      <c r="C28" t="s">
        <v>34</v>
      </c>
      <c r="D28" t="s">
        <v>31</v>
      </c>
      <c r="E28" s="28">
        <v>4828.57564</v>
      </c>
      <c r="J28" s="28"/>
    </row>
    <row r="29" spans="1:10" hidden="1" x14ac:dyDescent="0.25">
      <c r="B29">
        <v>27</v>
      </c>
      <c r="C29" t="s">
        <v>34</v>
      </c>
      <c r="D29" t="s">
        <v>31</v>
      </c>
      <c r="E29" s="27">
        <v>4792.0801500000007</v>
      </c>
      <c r="J29" s="27"/>
    </row>
    <row r="30" spans="1:10" hidden="1" x14ac:dyDescent="0.25">
      <c r="B30">
        <v>28</v>
      </c>
      <c r="C30" t="s">
        <v>34</v>
      </c>
      <c r="D30" t="s">
        <v>31</v>
      </c>
      <c r="E30" s="28">
        <v>4845.5198399999999</v>
      </c>
      <c r="J30" s="28"/>
    </row>
    <row r="31" spans="1:10" hidden="1" x14ac:dyDescent="0.25">
      <c r="B31">
        <v>29</v>
      </c>
      <c r="C31" t="s">
        <v>34</v>
      </c>
      <c r="D31" t="s">
        <v>31</v>
      </c>
      <c r="E31" s="27">
        <v>4649.8143300000002</v>
      </c>
      <c r="J31" s="27"/>
    </row>
    <row r="32" spans="1:10" hidden="1" x14ac:dyDescent="0.25">
      <c r="B32">
        <v>30</v>
      </c>
      <c r="C32" t="s">
        <v>34</v>
      </c>
      <c r="D32" t="s">
        <v>31</v>
      </c>
      <c r="E32" s="28">
        <v>4908.5024800000001</v>
      </c>
      <c r="J32" s="28"/>
    </row>
    <row r="33" spans="2:10" hidden="1" x14ac:dyDescent="0.25">
      <c r="B33">
        <v>31</v>
      </c>
      <c r="C33" t="s">
        <v>34</v>
      </c>
      <c r="D33" t="s">
        <v>31</v>
      </c>
      <c r="E33" s="27">
        <v>4249.3021479999998</v>
      </c>
      <c r="J33" s="27"/>
    </row>
    <row r="34" spans="2:10" hidden="1" x14ac:dyDescent="0.25">
      <c r="B34">
        <v>32</v>
      </c>
      <c r="C34" t="s">
        <v>34</v>
      </c>
      <c r="D34" t="s">
        <v>31</v>
      </c>
      <c r="E34" s="28">
        <v>4719.7267199999997</v>
      </c>
      <c r="J34" s="28"/>
    </row>
    <row r="35" spans="2:10" hidden="1" x14ac:dyDescent="0.25">
      <c r="B35">
        <v>33</v>
      </c>
      <c r="C35" t="s">
        <v>34</v>
      </c>
      <c r="D35" t="s">
        <v>31</v>
      </c>
      <c r="E35" s="27">
        <v>4710.1478399999996</v>
      </c>
      <c r="J35" s="27"/>
    </row>
    <row r="36" spans="2:10" hidden="1" x14ac:dyDescent="0.25">
      <c r="B36">
        <v>34</v>
      </c>
      <c r="C36" t="s">
        <v>34</v>
      </c>
      <c r="D36" t="s">
        <v>31</v>
      </c>
      <c r="E36" s="28">
        <v>4792.0524429555544</v>
      </c>
      <c r="J36" s="28"/>
    </row>
    <row r="37" spans="2:10" hidden="1" x14ac:dyDescent="0.25">
      <c r="B37">
        <v>35</v>
      </c>
      <c r="C37" t="s">
        <v>34</v>
      </c>
      <c r="D37" t="s">
        <v>31</v>
      </c>
      <c r="E37" s="27">
        <v>5023</v>
      </c>
      <c r="J37" s="27"/>
    </row>
    <row r="38" spans="2:10" hidden="1" x14ac:dyDescent="0.25">
      <c r="B38">
        <v>36</v>
      </c>
      <c r="C38" t="s">
        <v>34</v>
      </c>
      <c r="D38" t="s">
        <v>31</v>
      </c>
      <c r="E38" s="28">
        <v>4690</v>
      </c>
      <c r="J38" s="28"/>
    </row>
    <row r="39" spans="2:10" hidden="1" x14ac:dyDescent="0.25">
      <c r="B39">
        <v>37</v>
      </c>
      <c r="C39" t="s">
        <v>34</v>
      </c>
      <c r="D39" t="s">
        <v>31</v>
      </c>
      <c r="E39" s="27">
        <v>5714</v>
      </c>
      <c r="J39" s="27"/>
    </row>
    <row r="40" spans="2:10" hidden="1" x14ac:dyDescent="0.25">
      <c r="B40">
        <v>38</v>
      </c>
      <c r="C40" t="s">
        <v>34</v>
      </c>
      <c r="D40" t="s">
        <v>31</v>
      </c>
      <c r="E40" s="29">
        <v>5224</v>
      </c>
      <c r="J40" s="29"/>
    </row>
    <row r="41" spans="2:10" hidden="1" x14ac:dyDescent="0.25">
      <c r="B41">
        <v>39</v>
      </c>
      <c r="C41" t="s">
        <v>34</v>
      </c>
      <c r="D41" t="s">
        <v>31</v>
      </c>
      <c r="E41" s="30">
        <v>4875.1361567999993</v>
      </c>
      <c r="J41" s="30"/>
    </row>
    <row r="42" spans="2:10" hidden="1" x14ac:dyDescent="0.25">
      <c r="B42">
        <v>40</v>
      </c>
      <c r="C42" t="s">
        <v>34</v>
      </c>
      <c r="D42" t="s">
        <v>31</v>
      </c>
      <c r="E42" s="31">
        <v>5610.2375000000002</v>
      </c>
      <c r="J42" s="31"/>
    </row>
    <row r="43" spans="2:10" x14ac:dyDescent="0.25">
      <c r="B43" s="23">
        <v>1</v>
      </c>
      <c r="C43" s="23" t="s">
        <v>34</v>
      </c>
      <c r="D43" s="23" t="s">
        <v>32</v>
      </c>
      <c r="E43" s="36">
        <v>2023.6031200000002</v>
      </c>
      <c r="G43" s="23"/>
      <c r="H43" s="23"/>
      <c r="I43" s="23"/>
      <c r="J43" s="36"/>
    </row>
    <row r="44" spans="2:10" x14ac:dyDescent="0.25">
      <c r="B44">
        <v>2</v>
      </c>
      <c r="C44" s="23" t="s">
        <v>34</v>
      </c>
      <c r="D44" s="23" t="s">
        <v>32</v>
      </c>
      <c r="E44" s="37">
        <v>1993.6422</v>
      </c>
      <c r="H44" s="23"/>
      <c r="I44" s="23"/>
      <c r="J44" s="37"/>
    </row>
    <row r="45" spans="2:10" x14ac:dyDescent="0.25">
      <c r="B45" s="23">
        <v>3</v>
      </c>
      <c r="C45" s="23" t="s">
        <v>34</v>
      </c>
      <c r="D45" s="23" t="s">
        <v>32</v>
      </c>
      <c r="E45" s="36">
        <v>1988.40256</v>
      </c>
      <c r="G45" s="23"/>
      <c r="H45" s="23"/>
      <c r="I45" s="23"/>
      <c r="J45" s="36"/>
    </row>
    <row r="46" spans="2:10" x14ac:dyDescent="0.25">
      <c r="B46">
        <v>4</v>
      </c>
      <c r="C46" s="23" t="s">
        <v>34</v>
      </c>
      <c r="D46" s="23" t="s">
        <v>32</v>
      </c>
      <c r="E46" s="37">
        <v>2101.9069500000001</v>
      </c>
      <c r="H46" s="23"/>
      <c r="I46" s="23"/>
      <c r="J46" s="37"/>
    </row>
    <row r="47" spans="2:10" x14ac:dyDescent="0.25">
      <c r="B47" s="23">
        <v>5</v>
      </c>
      <c r="C47" s="23" t="s">
        <v>34</v>
      </c>
      <c r="D47" s="23" t="s">
        <v>32</v>
      </c>
      <c r="E47" s="36">
        <v>1963.2518600000001</v>
      </c>
      <c r="G47" s="23"/>
      <c r="H47" s="23"/>
      <c r="I47" s="23"/>
      <c r="J47" s="36"/>
    </row>
    <row r="48" spans="2:10" x14ac:dyDescent="0.25">
      <c r="B48">
        <v>6</v>
      </c>
      <c r="C48" s="23" t="s">
        <v>34</v>
      </c>
      <c r="D48" s="23" t="s">
        <v>32</v>
      </c>
      <c r="E48" s="37">
        <v>2550.3282000000004</v>
      </c>
      <c r="H48" s="23"/>
      <c r="I48" s="23"/>
      <c r="J48" s="37"/>
    </row>
    <row r="49" spans="2:10" x14ac:dyDescent="0.25">
      <c r="B49" s="23">
        <v>7</v>
      </c>
      <c r="C49" s="23" t="s">
        <v>34</v>
      </c>
      <c r="D49" s="23" t="s">
        <v>32</v>
      </c>
      <c r="E49" s="36">
        <v>2523.0937599999997</v>
      </c>
      <c r="G49" s="23"/>
      <c r="H49" s="23"/>
      <c r="I49" s="23"/>
      <c r="J49" s="36"/>
    </row>
    <row r="50" spans="2:10" x14ac:dyDescent="0.25">
      <c r="B50">
        <v>8</v>
      </c>
      <c r="C50" s="23" t="s">
        <v>34</v>
      </c>
      <c r="D50" s="23" t="s">
        <v>32</v>
      </c>
      <c r="E50" s="37">
        <v>2415.9465</v>
      </c>
      <c r="H50" s="23"/>
      <c r="I50" s="23"/>
      <c r="J50" s="37"/>
    </row>
    <row r="51" spans="2:10" x14ac:dyDescent="0.25">
      <c r="B51" s="23">
        <v>9</v>
      </c>
      <c r="C51" s="23" t="s">
        <v>34</v>
      </c>
      <c r="D51" s="23" t="s">
        <v>32</v>
      </c>
      <c r="E51" s="36">
        <v>2499.2027699999999</v>
      </c>
      <c r="G51" s="23"/>
      <c r="H51" s="23"/>
      <c r="I51" s="23"/>
      <c r="J51" s="36"/>
    </row>
    <row r="52" spans="2:10" x14ac:dyDescent="0.25">
      <c r="B52">
        <v>10</v>
      </c>
      <c r="C52" s="23" t="s">
        <v>34</v>
      </c>
      <c r="D52" s="23" t="s">
        <v>32</v>
      </c>
      <c r="E52" s="37">
        <v>2412.8745299999996</v>
      </c>
      <c r="H52" s="23"/>
      <c r="I52" s="23"/>
      <c r="J52" s="37"/>
    </row>
    <row r="53" spans="2:10" x14ac:dyDescent="0.25">
      <c r="B53" s="23">
        <v>11</v>
      </c>
      <c r="C53" s="23" t="s">
        <v>34</v>
      </c>
      <c r="D53" s="23" t="s">
        <v>32</v>
      </c>
      <c r="E53" s="36">
        <v>2535.5245499999996</v>
      </c>
      <c r="G53" s="23"/>
      <c r="H53" s="23"/>
      <c r="I53" s="23"/>
      <c r="J53" s="36"/>
    </row>
    <row r="54" spans="2:10" x14ac:dyDescent="0.25">
      <c r="B54">
        <v>12</v>
      </c>
      <c r="C54" s="23" t="s">
        <v>34</v>
      </c>
      <c r="D54" s="23" t="s">
        <v>32</v>
      </c>
      <c r="E54" s="37">
        <v>2341.1102000000001</v>
      </c>
      <c r="H54" s="23"/>
      <c r="I54" s="23"/>
      <c r="J54" s="37"/>
    </row>
    <row r="55" spans="2:10" x14ac:dyDescent="0.25">
      <c r="B55" s="23">
        <v>13</v>
      </c>
      <c r="C55" s="23" t="s">
        <v>34</v>
      </c>
      <c r="D55" s="23" t="s">
        <v>32</v>
      </c>
      <c r="E55" s="36">
        <v>1695.71072</v>
      </c>
      <c r="G55" s="23"/>
      <c r="H55" s="23"/>
      <c r="I55" s="23"/>
      <c r="J55" s="36"/>
    </row>
    <row r="56" spans="2:10" x14ac:dyDescent="0.25">
      <c r="B56">
        <v>14</v>
      </c>
      <c r="C56" s="23" t="s">
        <v>34</v>
      </c>
      <c r="D56" s="23" t="s">
        <v>32</v>
      </c>
      <c r="E56" s="37">
        <v>2277.353325</v>
      </c>
      <c r="H56" s="23"/>
      <c r="I56" s="23"/>
      <c r="J56" s="37"/>
    </row>
    <row r="57" spans="2:10" x14ac:dyDescent="0.25">
      <c r="B57" s="23">
        <v>15</v>
      </c>
      <c r="C57" s="23" t="s">
        <v>34</v>
      </c>
      <c r="D57" s="23" t="s">
        <v>32</v>
      </c>
      <c r="E57" s="36">
        <v>2152.9584</v>
      </c>
      <c r="G57" s="23"/>
      <c r="H57" s="23"/>
      <c r="I57" s="23"/>
      <c r="J57" s="36"/>
    </row>
    <row r="58" spans="2:10" x14ac:dyDescent="0.25">
      <c r="B58">
        <v>16</v>
      </c>
      <c r="C58" s="23" t="s">
        <v>34</v>
      </c>
      <c r="D58" s="23" t="s">
        <v>32</v>
      </c>
      <c r="E58" s="37">
        <v>1964.38788</v>
      </c>
      <c r="H58" s="23"/>
      <c r="I58" s="23"/>
      <c r="J58" s="37"/>
    </row>
    <row r="59" spans="2:10" x14ac:dyDescent="0.25">
      <c r="B59" s="23">
        <v>17</v>
      </c>
      <c r="C59" s="23" t="s">
        <v>34</v>
      </c>
      <c r="D59" s="23" t="s">
        <v>32</v>
      </c>
      <c r="E59" s="36">
        <v>1675.8530000000001</v>
      </c>
      <c r="G59" s="23"/>
      <c r="H59" s="23"/>
      <c r="I59" s="23"/>
      <c r="J59" s="36"/>
    </row>
    <row r="60" spans="2:10" x14ac:dyDescent="0.25">
      <c r="B60">
        <v>18</v>
      </c>
      <c r="C60" s="23" t="s">
        <v>34</v>
      </c>
      <c r="D60" s="23" t="s">
        <v>32</v>
      </c>
      <c r="E60" s="37">
        <v>1855.7843849999999</v>
      </c>
      <c r="H60" s="23"/>
      <c r="I60" s="23"/>
      <c r="J60" s="37"/>
    </row>
    <row r="61" spans="2:10" x14ac:dyDescent="0.25">
      <c r="B61" s="23">
        <v>19</v>
      </c>
      <c r="C61" s="23" t="s">
        <v>34</v>
      </c>
      <c r="D61" s="23" t="s">
        <v>32</v>
      </c>
      <c r="E61" s="36">
        <v>1798.1750303999997</v>
      </c>
      <c r="G61" s="23"/>
      <c r="H61" s="23"/>
      <c r="I61" s="23"/>
      <c r="J61" s="36"/>
    </row>
    <row r="62" spans="2:10" x14ac:dyDescent="0.25">
      <c r="B62">
        <v>20</v>
      </c>
      <c r="C62" s="23" t="s">
        <v>34</v>
      </c>
      <c r="D62" s="23" t="s">
        <v>32</v>
      </c>
      <c r="E62" s="37">
        <v>1891.3605</v>
      </c>
      <c r="H62" s="23"/>
      <c r="I62" s="23"/>
      <c r="J62" s="37"/>
    </row>
    <row r="63" spans="2:10" x14ac:dyDescent="0.25">
      <c r="B63" s="23">
        <v>21</v>
      </c>
      <c r="C63" s="23" t="s">
        <v>34</v>
      </c>
      <c r="D63" s="23" t="s">
        <v>32</v>
      </c>
      <c r="E63" s="36">
        <v>1868.3946000000001</v>
      </c>
      <c r="G63" s="23"/>
      <c r="H63" s="23"/>
      <c r="I63" s="23"/>
      <c r="J63" s="36"/>
    </row>
    <row r="64" spans="2:10" x14ac:dyDescent="0.25">
      <c r="B64">
        <v>22</v>
      </c>
      <c r="C64" s="23" t="s">
        <v>34</v>
      </c>
      <c r="D64" s="23" t="s">
        <v>32</v>
      </c>
      <c r="E64" s="37">
        <v>1854.1758</v>
      </c>
      <c r="H64" s="23"/>
      <c r="I64" s="23"/>
      <c r="J64" s="37"/>
    </row>
    <row r="65" spans="2:10" x14ac:dyDescent="0.25">
      <c r="B65" s="23">
        <v>23</v>
      </c>
      <c r="C65" s="23" t="s">
        <v>34</v>
      </c>
      <c r="D65" s="23" t="s">
        <v>32</v>
      </c>
      <c r="E65" s="36">
        <v>1681.4756</v>
      </c>
      <c r="G65" s="23"/>
      <c r="H65" s="23"/>
      <c r="I65" s="23"/>
      <c r="J65" s="36"/>
    </row>
    <row r="66" spans="2:10" x14ac:dyDescent="0.25">
      <c r="B66">
        <v>24</v>
      </c>
      <c r="C66" s="23" t="s">
        <v>34</v>
      </c>
      <c r="D66" s="23" t="s">
        <v>32</v>
      </c>
      <c r="E66" s="37">
        <v>1740.3929699999999</v>
      </c>
      <c r="H66" s="23"/>
      <c r="I66" s="23"/>
      <c r="J66" s="37"/>
    </row>
    <row r="67" spans="2:10" x14ac:dyDescent="0.25">
      <c r="B67" s="23">
        <v>25</v>
      </c>
      <c r="C67" s="23" t="s">
        <v>34</v>
      </c>
      <c r="D67" s="23" t="s">
        <v>32</v>
      </c>
      <c r="E67" s="36">
        <v>1495.7460000000001</v>
      </c>
      <c r="G67" s="23"/>
      <c r="H67" s="23"/>
      <c r="I67" s="23"/>
      <c r="J67" s="36"/>
    </row>
    <row r="68" spans="2:10" x14ac:dyDescent="0.25">
      <c r="B68">
        <v>26</v>
      </c>
      <c r="C68" s="23" t="s">
        <v>34</v>
      </c>
      <c r="D68" s="23" t="s">
        <v>32</v>
      </c>
      <c r="E68" s="37">
        <v>1794.8787</v>
      </c>
      <c r="H68" s="23"/>
      <c r="I68" s="23"/>
      <c r="J68" s="37"/>
    </row>
    <row r="69" spans="2:10" x14ac:dyDescent="0.25">
      <c r="B69" s="23">
        <v>27</v>
      </c>
      <c r="C69" s="23" t="s">
        <v>34</v>
      </c>
      <c r="D69" s="23" t="s">
        <v>32</v>
      </c>
      <c r="E69" s="36">
        <v>1782.7878600000001</v>
      </c>
      <c r="G69" s="23"/>
      <c r="H69" s="23"/>
      <c r="I69" s="23"/>
      <c r="J69" s="36"/>
    </row>
    <row r="70" spans="2:10" x14ac:dyDescent="0.25">
      <c r="B70">
        <v>28</v>
      </c>
      <c r="C70" s="23" t="s">
        <v>34</v>
      </c>
      <c r="D70" s="23" t="s">
        <v>32</v>
      </c>
      <c r="E70" s="37">
        <v>1666.2283200000002</v>
      </c>
      <c r="H70" s="23"/>
      <c r="I70" s="23"/>
      <c r="J70" s="37"/>
    </row>
    <row r="71" spans="2:10" x14ac:dyDescent="0.25">
      <c r="B71" s="23">
        <v>29</v>
      </c>
      <c r="C71" s="23" t="s">
        <v>34</v>
      </c>
      <c r="D71" s="23" t="s">
        <v>32</v>
      </c>
      <c r="E71" s="36">
        <v>1579.66686</v>
      </c>
      <c r="G71" s="23"/>
      <c r="H71" s="23"/>
      <c r="I71" s="23"/>
      <c r="J71" s="36"/>
    </row>
    <row r="72" spans="2:10" x14ac:dyDescent="0.25">
      <c r="B72">
        <v>30</v>
      </c>
      <c r="C72" s="23" t="s">
        <v>34</v>
      </c>
      <c r="D72" s="23" t="s">
        <v>32</v>
      </c>
      <c r="E72" s="37">
        <v>1763.3485800000001</v>
      </c>
      <c r="H72" s="23"/>
      <c r="I72" s="23"/>
      <c r="J72" s="37"/>
    </row>
    <row r="73" spans="2:10" x14ac:dyDescent="0.25">
      <c r="B73" s="23">
        <v>31</v>
      </c>
      <c r="C73" s="23" t="s">
        <v>34</v>
      </c>
      <c r="D73" s="23" t="s">
        <v>32</v>
      </c>
      <c r="E73" s="36">
        <v>1552.2661799999998</v>
      </c>
      <c r="G73" s="23"/>
      <c r="H73" s="23"/>
      <c r="I73" s="23"/>
      <c r="J73" s="36"/>
    </row>
    <row r="74" spans="2:10" x14ac:dyDescent="0.25">
      <c r="B74">
        <v>32</v>
      </c>
      <c r="C74" s="23" t="s">
        <v>34</v>
      </c>
      <c r="D74" s="23" t="s">
        <v>32</v>
      </c>
      <c r="E74" s="37">
        <v>1700.9964</v>
      </c>
      <c r="H74" s="23"/>
      <c r="I74" s="23"/>
      <c r="J74" s="37"/>
    </row>
    <row r="75" spans="2:10" x14ac:dyDescent="0.25">
      <c r="B75" s="23">
        <v>33</v>
      </c>
      <c r="C75" s="23" t="s">
        <v>34</v>
      </c>
      <c r="D75" s="23" t="s">
        <v>32</v>
      </c>
      <c r="E75" s="36">
        <v>1681.5256650000001</v>
      </c>
      <c r="G75" s="23"/>
      <c r="H75" s="23"/>
      <c r="I75" s="23"/>
      <c r="J75" s="36"/>
    </row>
    <row r="76" spans="2:10" x14ac:dyDescent="0.25">
      <c r="B76">
        <v>34</v>
      </c>
      <c r="C76" s="23" t="s">
        <v>34</v>
      </c>
      <c r="D76" s="23" t="s">
        <v>32</v>
      </c>
      <c r="E76" s="28">
        <v>1728.8695208888887</v>
      </c>
      <c r="H76" s="23"/>
      <c r="I76" s="23"/>
      <c r="J76" s="28"/>
    </row>
    <row r="77" spans="2:10" x14ac:dyDescent="0.25">
      <c r="B77" s="23">
        <v>35</v>
      </c>
      <c r="C77" s="23" t="s">
        <v>34</v>
      </c>
      <c r="D77" s="23" t="s">
        <v>32</v>
      </c>
      <c r="E77" s="27">
        <v>1781</v>
      </c>
      <c r="G77" s="23"/>
      <c r="H77" s="23"/>
      <c r="I77" s="23"/>
      <c r="J77" s="27"/>
    </row>
    <row r="78" spans="2:10" x14ac:dyDescent="0.25">
      <c r="B78">
        <v>36</v>
      </c>
      <c r="C78" s="23" t="s">
        <v>34</v>
      </c>
      <c r="D78" s="23" t="s">
        <v>32</v>
      </c>
      <c r="E78" s="28">
        <v>1696</v>
      </c>
      <c r="H78" s="23"/>
      <c r="I78" s="23"/>
      <c r="J78" s="28"/>
    </row>
    <row r="79" spans="2:10" x14ac:dyDescent="0.25">
      <c r="B79" s="23">
        <v>37</v>
      </c>
      <c r="C79" s="23" t="s">
        <v>34</v>
      </c>
      <c r="D79" s="23" t="s">
        <v>32</v>
      </c>
      <c r="E79" s="27">
        <v>2066</v>
      </c>
      <c r="G79" s="23"/>
      <c r="H79" s="23"/>
      <c r="I79" s="23"/>
      <c r="J79" s="27"/>
    </row>
    <row r="80" spans="2:10" x14ac:dyDescent="0.25">
      <c r="B80">
        <v>38</v>
      </c>
      <c r="C80" s="23" t="s">
        <v>34</v>
      </c>
      <c r="D80" s="23" t="s">
        <v>32</v>
      </c>
      <c r="E80" s="29">
        <v>1888</v>
      </c>
      <c r="H80" s="23"/>
      <c r="I80" s="23"/>
      <c r="J80" s="29"/>
    </row>
    <row r="81" spans="2:10" x14ac:dyDescent="0.25">
      <c r="B81" s="23">
        <v>39</v>
      </c>
      <c r="C81" s="23" t="s">
        <v>34</v>
      </c>
      <c r="D81" s="23" t="s">
        <v>32</v>
      </c>
      <c r="E81" s="30">
        <v>1424.8505474999999</v>
      </c>
      <c r="G81" s="23"/>
      <c r="H81" s="23"/>
      <c r="I81" s="23"/>
      <c r="J81" s="30"/>
    </row>
    <row r="82" spans="2:10" x14ac:dyDescent="0.25">
      <c r="B82" s="23">
        <v>40</v>
      </c>
      <c r="C82" s="23" t="s">
        <v>34</v>
      </c>
      <c r="D82" s="23" t="s">
        <v>32</v>
      </c>
      <c r="E82" s="32">
        <v>1933.425</v>
      </c>
      <c r="G82" s="23"/>
      <c r="H82" s="23"/>
      <c r="I82" s="23"/>
      <c r="J82" s="32"/>
    </row>
    <row r="83" spans="2:10" x14ac:dyDescent="0.25">
      <c r="B83" s="23">
        <v>1</v>
      </c>
      <c r="C83" s="23" t="s">
        <v>34</v>
      </c>
      <c r="D83" s="23" t="s">
        <v>33</v>
      </c>
      <c r="E83" s="27">
        <v>139.73391899999999</v>
      </c>
      <c r="G83" s="23"/>
      <c r="H83" s="23"/>
      <c r="I83" s="23"/>
      <c r="J83" s="27"/>
    </row>
    <row r="84" spans="2:10" x14ac:dyDescent="0.25">
      <c r="B84" s="23">
        <v>2</v>
      </c>
      <c r="C84" s="23" t="s">
        <v>34</v>
      </c>
      <c r="D84" s="23" t="s">
        <v>33</v>
      </c>
      <c r="E84" s="28">
        <v>175.08625649999999</v>
      </c>
      <c r="G84" s="23"/>
      <c r="H84" s="23"/>
      <c r="I84" s="23"/>
      <c r="J84" s="28"/>
    </row>
    <row r="85" spans="2:10" x14ac:dyDescent="0.25">
      <c r="B85" s="23">
        <v>3</v>
      </c>
      <c r="C85" s="23" t="s">
        <v>34</v>
      </c>
      <c r="D85" s="23" t="s">
        <v>33</v>
      </c>
      <c r="E85" s="27">
        <v>150.87957299999999</v>
      </c>
      <c r="G85" s="23"/>
      <c r="H85" s="23"/>
      <c r="I85" s="23"/>
      <c r="J85" s="27"/>
    </row>
    <row r="86" spans="2:10" x14ac:dyDescent="0.25">
      <c r="B86" s="23">
        <v>4</v>
      </c>
      <c r="C86" s="23" t="s">
        <v>34</v>
      </c>
      <c r="D86" s="23" t="s">
        <v>33</v>
      </c>
      <c r="E86" s="28">
        <v>173.04441</v>
      </c>
      <c r="G86" s="23"/>
      <c r="H86" s="23"/>
      <c r="I86" s="23"/>
      <c r="J86" s="28"/>
    </row>
    <row r="87" spans="2:10" x14ac:dyDescent="0.25">
      <c r="B87" s="23">
        <v>5</v>
      </c>
      <c r="C87" s="23" t="s">
        <v>34</v>
      </c>
      <c r="D87" s="23" t="s">
        <v>33</v>
      </c>
      <c r="E87" s="27">
        <v>86.009219999999999</v>
      </c>
      <c r="G87" s="23"/>
      <c r="H87" s="23"/>
      <c r="I87" s="23"/>
      <c r="J87" s="27"/>
    </row>
    <row r="88" spans="2:10" x14ac:dyDescent="0.25">
      <c r="B88" s="23">
        <v>6</v>
      </c>
      <c r="C88" s="23" t="s">
        <v>34</v>
      </c>
      <c r="D88" s="23" t="s">
        <v>33</v>
      </c>
      <c r="E88" s="28">
        <v>120.54378</v>
      </c>
      <c r="G88" s="23"/>
      <c r="H88" s="23"/>
      <c r="I88" s="23"/>
      <c r="J88" s="28"/>
    </row>
    <row r="89" spans="2:10" x14ac:dyDescent="0.25">
      <c r="B89" s="23">
        <v>7</v>
      </c>
      <c r="C89" s="23" t="s">
        <v>34</v>
      </c>
      <c r="D89" s="23" t="s">
        <v>33</v>
      </c>
      <c r="E89" s="27">
        <v>110.25677</v>
      </c>
      <c r="G89" s="23"/>
      <c r="H89" s="23"/>
      <c r="I89" s="23"/>
      <c r="J89" s="27"/>
    </row>
    <row r="90" spans="2:10" x14ac:dyDescent="0.25">
      <c r="B90" s="23">
        <v>8</v>
      </c>
      <c r="C90" s="23" t="s">
        <v>34</v>
      </c>
      <c r="D90" s="23" t="s">
        <v>33</v>
      </c>
      <c r="E90" s="28">
        <v>111.94958700000001</v>
      </c>
      <c r="G90" s="23"/>
      <c r="H90" s="23"/>
      <c r="I90" s="23"/>
      <c r="J90" s="28"/>
    </row>
    <row r="91" spans="2:10" x14ac:dyDescent="0.25">
      <c r="B91" s="23">
        <v>9</v>
      </c>
      <c r="C91" s="23" t="s">
        <v>34</v>
      </c>
      <c r="D91" s="23" t="s">
        <v>33</v>
      </c>
      <c r="E91" s="27">
        <v>83.026350000000008</v>
      </c>
      <c r="G91" s="23"/>
      <c r="H91" s="23"/>
      <c r="I91" s="23"/>
      <c r="J91" s="27"/>
    </row>
    <row r="92" spans="2:10" x14ac:dyDescent="0.25">
      <c r="B92" s="23">
        <v>10</v>
      </c>
      <c r="C92" s="23" t="s">
        <v>34</v>
      </c>
      <c r="D92" s="23" t="s">
        <v>33</v>
      </c>
      <c r="E92" s="28">
        <v>100.28322</v>
      </c>
      <c r="G92" s="23"/>
      <c r="H92" s="23"/>
      <c r="I92" s="23"/>
      <c r="J92" s="28"/>
    </row>
    <row r="93" spans="2:10" x14ac:dyDescent="0.25">
      <c r="B93" s="23">
        <v>11</v>
      </c>
      <c r="C93" s="23" t="s">
        <v>34</v>
      </c>
      <c r="D93" s="23" t="s">
        <v>33</v>
      </c>
      <c r="E93" s="27">
        <v>98.877690000000001</v>
      </c>
      <c r="G93" s="23"/>
      <c r="H93" s="23"/>
      <c r="I93" s="23"/>
      <c r="J93" s="27"/>
    </row>
    <row r="94" spans="2:10" x14ac:dyDescent="0.25">
      <c r="B94" s="23">
        <v>12</v>
      </c>
      <c r="C94" s="23" t="s">
        <v>34</v>
      </c>
      <c r="D94" s="23" t="s">
        <v>33</v>
      </c>
      <c r="E94" s="28">
        <v>93.599550000000008</v>
      </c>
      <c r="G94" s="23"/>
      <c r="H94" s="23"/>
      <c r="I94" s="23"/>
      <c r="J94" s="28"/>
    </row>
    <row r="95" spans="2:10" x14ac:dyDescent="0.25">
      <c r="B95" s="23">
        <v>13</v>
      </c>
      <c r="C95" s="23" t="s">
        <v>34</v>
      </c>
      <c r="D95" s="23" t="s">
        <v>33</v>
      </c>
      <c r="E95" s="27">
        <v>61.825139999999998</v>
      </c>
      <c r="G95" s="23"/>
      <c r="H95" s="23"/>
      <c r="I95" s="23"/>
      <c r="J95" s="27"/>
    </row>
    <row r="96" spans="2:10" x14ac:dyDescent="0.25">
      <c r="B96" s="23">
        <v>14</v>
      </c>
      <c r="C96" s="23" t="s">
        <v>34</v>
      </c>
      <c r="D96" s="23" t="s">
        <v>33</v>
      </c>
      <c r="E96" s="28">
        <v>94.512991999999997</v>
      </c>
      <c r="G96" s="23"/>
      <c r="H96" s="23"/>
      <c r="I96" s="23"/>
      <c r="J96" s="28"/>
    </row>
    <row r="97" spans="2:10" x14ac:dyDescent="0.25">
      <c r="B97" s="23">
        <v>15</v>
      </c>
      <c r="C97" s="23" t="s">
        <v>34</v>
      </c>
      <c r="D97" s="23" t="s">
        <v>33</v>
      </c>
      <c r="E97" s="27">
        <v>94.451864</v>
      </c>
      <c r="G97" s="23"/>
      <c r="H97" s="23"/>
      <c r="I97" s="23"/>
      <c r="J97" s="27"/>
    </row>
    <row r="98" spans="2:10" x14ac:dyDescent="0.25">
      <c r="B98" s="23">
        <v>16</v>
      </c>
      <c r="C98" s="23" t="s">
        <v>34</v>
      </c>
      <c r="D98" s="23" t="s">
        <v>33</v>
      </c>
      <c r="E98" s="28">
        <v>97.934850000000012</v>
      </c>
      <c r="G98" s="23"/>
      <c r="H98" s="23"/>
      <c r="I98" s="23"/>
      <c r="J98" s="28"/>
    </row>
    <row r="99" spans="2:10" x14ac:dyDescent="0.25">
      <c r="B99" s="23">
        <v>17</v>
      </c>
      <c r="C99" s="23" t="s">
        <v>34</v>
      </c>
      <c r="D99" s="23" t="s">
        <v>33</v>
      </c>
      <c r="E99" s="27">
        <v>77.199210000000008</v>
      </c>
      <c r="G99" s="23"/>
      <c r="H99" s="23"/>
      <c r="I99" s="23"/>
      <c r="J99" s="27"/>
    </row>
    <row r="100" spans="2:10" x14ac:dyDescent="0.25">
      <c r="B100" s="23">
        <v>18</v>
      </c>
      <c r="C100" s="23" t="s">
        <v>34</v>
      </c>
      <c r="D100" s="23" t="s">
        <v>33</v>
      </c>
      <c r="E100" s="28">
        <v>78.092352000000005</v>
      </c>
      <c r="G100" s="23"/>
      <c r="H100" s="23"/>
      <c r="I100" s="23"/>
      <c r="J100" s="28"/>
    </row>
    <row r="101" spans="2:10" x14ac:dyDescent="0.25">
      <c r="B101" s="23">
        <v>19</v>
      </c>
      <c r="C101" s="23" t="s">
        <v>34</v>
      </c>
      <c r="D101" s="23" t="s">
        <v>33</v>
      </c>
      <c r="E101" s="27">
        <v>67.75424000000001</v>
      </c>
      <c r="G101" s="23"/>
      <c r="H101" s="23"/>
      <c r="I101" s="23"/>
      <c r="J101" s="27"/>
    </row>
    <row r="102" spans="2:10" x14ac:dyDescent="0.25">
      <c r="B102" s="23">
        <v>20</v>
      </c>
      <c r="C102" s="23" t="s">
        <v>34</v>
      </c>
      <c r="D102" s="23" t="s">
        <v>33</v>
      </c>
      <c r="E102" s="28">
        <v>89.955908499999993</v>
      </c>
      <c r="G102" s="23"/>
      <c r="H102" s="23"/>
      <c r="I102" s="23"/>
      <c r="J102" s="28"/>
    </row>
    <row r="103" spans="2:10" x14ac:dyDescent="0.25">
      <c r="B103" s="23">
        <v>21</v>
      </c>
      <c r="C103" s="23" t="s">
        <v>34</v>
      </c>
      <c r="D103" s="23" t="s">
        <v>33</v>
      </c>
      <c r="E103" s="27">
        <v>98.013397500000011</v>
      </c>
      <c r="G103" s="23"/>
      <c r="H103" s="23"/>
      <c r="I103" s="23"/>
      <c r="J103" s="27"/>
    </row>
    <row r="104" spans="2:10" x14ac:dyDescent="0.25">
      <c r="B104" s="23">
        <v>22</v>
      </c>
      <c r="C104" s="23" t="s">
        <v>34</v>
      </c>
      <c r="D104" s="23" t="s">
        <v>33</v>
      </c>
      <c r="E104" s="28">
        <v>139.61579999999998</v>
      </c>
      <c r="G104" s="23"/>
      <c r="H104" s="23"/>
      <c r="I104" s="23"/>
      <c r="J104" s="28"/>
    </row>
    <row r="105" spans="2:10" x14ac:dyDescent="0.25">
      <c r="B105" s="23">
        <v>23</v>
      </c>
      <c r="C105" s="23" t="s">
        <v>34</v>
      </c>
      <c r="D105" s="23" t="s">
        <v>33</v>
      </c>
      <c r="E105" s="27">
        <v>140.295852</v>
      </c>
      <c r="G105" s="23"/>
      <c r="H105" s="23"/>
      <c r="I105" s="23"/>
      <c r="J105" s="27"/>
    </row>
    <row r="106" spans="2:10" x14ac:dyDescent="0.25">
      <c r="B106" s="23">
        <v>24</v>
      </c>
      <c r="C106" s="23" t="s">
        <v>34</v>
      </c>
      <c r="D106" s="23" t="s">
        <v>33</v>
      </c>
      <c r="E106" s="28">
        <v>139.60201749999999</v>
      </c>
      <c r="G106" s="23"/>
      <c r="H106" s="23"/>
      <c r="I106" s="23"/>
      <c r="J106" s="28"/>
    </row>
    <row r="107" spans="2:10" x14ac:dyDescent="0.25">
      <c r="B107" s="23">
        <v>25</v>
      </c>
      <c r="C107" s="23" t="s">
        <v>34</v>
      </c>
      <c r="D107" s="23" t="s">
        <v>33</v>
      </c>
      <c r="E107" s="27">
        <v>172.70027999999999</v>
      </c>
      <c r="G107" s="23"/>
      <c r="H107" s="23"/>
      <c r="I107" s="23"/>
      <c r="J107" s="27"/>
    </row>
    <row r="108" spans="2:10" x14ac:dyDescent="0.25">
      <c r="B108" s="23">
        <v>26</v>
      </c>
      <c r="C108" s="23" t="s">
        <v>34</v>
      </c>
      <c r="D108" s="23" t="s">
        <v>33</v>
      </c>
      <c r="E108" s="28">
        <v>229.67278250000001</v>
      </c>
      <c r="G108" s="23"/>
      <c r="H108" s="23"/>
      <c r="I108" s="23"/>
      <c r="J108" s="28"/>
    </row>
    <row r="109" spans="2:10" x14ac:dyDescent="0.25">
      <c r="B109" s="23">
        <v>27</v>
      </c>
      <c r="C109" s="23" t="s">
        <v>34</v>
      </c>
      <c r="D109" s="23" t="s">
        <v>33</v>
      </c>
      <c r="E109" s="27">
        <v>286.15982000000002</v>
      </c>
      <c r="G109" s="23"/>
      <c r="H109" s="23"/>
      <c r="I109" s="23"/>
      <c r="J109" s="27"/>
    </row>
    <row r="110" spans="2:10" x14ac:dyDescent="0.25">
      <c r="B110" s="23">
        <v>28</v>
      </c>
      <c r="C110" s="23" t="s">
        <v>34</v>
      </c>
      <c r="D110" s="23" t="s">
        <v>33</v>
      </c>
      <c r="E110" s="28">
        <v>259.07791250000002</v>
      </c>
      <c r="G110" s="23"/>
      <c r="H110" s="23"/>
      <c r="I110" s="23"/>
      <c r="J110" s="28"/>
    </row>
    <row r="111" spans="2:10" x14ac:dyDescent="0.25">
      <c r="B111" s="23">
        <v>29</v>
      </c>
      <c r="C111" s="23" t="s">
        <v>34</v>
      </c>
      <c r="D111" s="23" t="s">
        <v>33</v>
      </c>
      <c r="E111" s="27">
        <v>309.37920000000003</v>
      </c>
      <c r="G111" s="23"/>
      <c r="H111" s="23"/>
      <c r="I111" s="23"/>
      <c r="J111" s="27"/>
    </row>
    <row r="112" spans="2:10" x14ac:dyDescent="0.25">
      <c r="B112" s="23">
        <v>30</v>
      </c>
      <c r="C112" s="23" t="s">
        <v>34</v>
      </c>
      <c r="D112" s="23" t="s">
        <v>33</v>
      </c>
      <c r="E112" s="28">
        <v>304.28836999999999</v>
      </c>
      <c r="G112" s="23"/>
      <c r="H112" s="23"/>
      <c r="I112" s="23"/>
      <c r="J112" s="28"/>
    </row>
    <row r="113" spans="2:10" x14ac:dyDescent="0.25">
      <c r="B113" s="23">
        <v>31</v>
      </c>
      <c r="C113" s="23" t="s">
        <v>34</v>
      </c>
      <c r="D113" s="23" t="s">
        <v>33</v>
      </c>
      <c r="E113" s="27">
        <v>314</v>
      </c>
      <c r="G113" s="23"/>
      <c r="H113" s="23"/>
      <c r="I113" s="23"/>
      <c r="J113" s="27"/>
    </row>
    <row r="114" spans="2:10" x14ac:dyDescent="0.25">
      <c r="B114" s="23">
        <v>32</v>
      </c>
      <c r="C114" s="23" t="s">
        <v>34</v>
      </c>
      <c r="D114" s="23" t="s">
        <v>33</v>
      </c>
      <c r="E114" s="28">
        <v>281</v>
      </c>
      <c r="G114" s="23"/>
      <c r="H114" s="23"/>
      <c r="I114" s="23"/>
      <c r="J114" s="28"/>
    </row>
    <row r="115" spans="2:10" x14ac:dyDescent="0.25">
      <c r="B115" s="23">
        <v>33</v>
      </c>
      <c r="C115" s="23" t="s">
        <v>34</v>
      </c>
      <c r="D115" s="23" t="s">
        <v>33</v>
      </c>
      <c r="E115" s="27">
        <v>280</v>
      </c>
      <c r="G115" s="23"/>
      <c r="H115" s="23"/>
      <c r="I115" s="23"/>
      <c r="J115" s="27"/>
    </row>
    <row r="116" spans="2:10" x14ac:dyDescent="0.25">
      <c r="B116" s="23">
        <v>34</v>
      </c>
      <c r="C116" s="23" t="s">
        <v>34</v>
      </c>
      <c r="D116" s="23" t="s">
        <v>33</v>
      </c>
      <c r="E116" s="28">
        <v>277</v>
      </c>
      <c r="G116" s="23"/>
      <c r="H116" s="23"/>
      <c r="I116" s="23"/>
      <c r="J116" s="28"/>
    </row>
    <row r="117" spans="2:10" x14ac:dyDescent="0.25">
      <c r="B117" s="23">
        <v>35</v>
      </c>
      <c r="C117" s="23" t="s">
        <v>34</v>
      </c>
      <c r="D117" s="23" t="s">
        <v>33</v>
      </c>
      <c r="E117" s="27">
        <v>285</v>
      </c>
      <c r="G117" s="23"/>
      <c r="H117" s="23"/>
      <c r="I117" s="23"/>
      <c r="J117" s="27"/>
    </row>
    <row r="118" spans="2:10" x14ac:dyDescent="0.25">
      <c r="B118" s="23">
        <v>36</v>
      </c>
      <c r="C118" s="23" t="s">
        <v>34</v>
      </c>
      <c r="D118" s="23" t="s">
        <v>33</v>
      </c>
      <c r="E118" s="28">
        <v>304</v>
      </c>
      <c r="G118" s="23"/>
      <c r="H118" s="23"/>
      <c r="I118" s="23"/>
      <c r="J118" s="28"/>
    </row>
    <row r="119" spans="2:10" x14ac:dyDescent="0.25">
      <c r="B119" s="23">
        <v>37</v>
      </c>
      <c r="C119" s="23" t="s">
        <v>34</v>
      </c>
      <c r="D119" s="23" t="s">
        <v>33</v>
      </c>
      <c r="E119" s="27">
        <v>192</v>
      </c>
      <c r="G119" s="23"/>
      <c r="H119" s="23"/>
      <c r="I119" s="23"/>
      <c r="J119" s="27"/>
    </row>
    <row r="120" spans="2:10" x14ac:dyDescent="0.25">
      <c r="B120" s="23">
        <v>38</v>
      </c>
      <c r="C120" s="23" t="s">
        <v>34</v>
      </c>
      <c r="D120" s="23" t="s">
        <v>33</v>
      </c>
      <c r="E120" s="29">
        <v>202</v>
      </c>
      <c r="G120" s="23"/>
      <c r="H120" s="23"/>
      <c r="I120" s="23"/>
      <c r="J120" s="29"/>
    </row>
    <row r="121" spans="2:10" x14ac:dyDescent="0.25">
      <c r="B121" s="23">
        <v>39</v>
      </c>
      <c r="C121" s="23" t="s">
        <v>34</v>
      </c>
      <c r="D121" s="23" t="s">
        <v>33</v>
      </c>
      <c r="E121" s="30">
        <v>109.89778800000001</v>
      </c>
      <c r="G121" s="23"/>
      <c r="H121" s="23"/>
      <c r="I121" s="23"/>
      <c r="J121" s="30"/>
    </row>
    <row r="122" spans="2:10" x14ac:dyDescent="0.25">
      <c r="B122" s="23">
        <v>40</v>
      </c>
      <c r="C122" s="23" t="s">
        <v>34</v>
      </c>
      <c r="D122" s="23" t="s">
        <v>33</v>
      </c>
      <c r="E122" s="32">
        <v>188.31384</v>
      </c>
      <c r="G122" s="23"/>
      <c r="H122" s="23"/>
      <c r="I122" s="23"/>
      <c r="J122" s="32"/>
    </row>
    <row r="123" spans="2:10" hidden="1" x14ac:dyDescent="0.25">
      <c r="B123" s="23">
        <v>1</v>
      </c>
      <c r="C123" s="23" t="s">
        <v>35</v>
      </c>
      <c r="D123" s="23" t="s">
        <v>31</v>
      </c>
      <c r="E123" s="27">
        <v>3730.46191</v>
      </c>
      <c r="G123" s="23"/>
      <c r="H123" s="23"/>
      <c r="I123" s="23"/>
      <c r="J123" s="27"/>
    </row>
    <row r="124" spans="2:10" hidden="1" x14ac:dyDescent="0.25">
      <c r="B124" s="23">
        <v>2</v>
      </c>
      <c r="C124" s="23" t="s">
        <v>35</v>
      </c>
      <c r="D124" s="23" t="s">
        <v>31</v>
      </c>
      <c r="E124" s="28">
        <v>3705.3552</v>
      </c>
      <c r="G124" s="23"/>
      <c r="H124" s="23"/>
      <c r="I124" s="23"/>
      <c r="J124" s="28"/>
    </row>
    <row r="125" spans="2:10" hidden="1" x14ac:dyDescent="0.25">
      <c r="B125" s="23">
        <v>3</v>
      </c>
      <c r="C125" s="23" t="s">
        <v>35</v>
      </c>
      <c r="D125" s="23" t="s">
        <v>31</v>
      </c>
      <c r="E125" s="27">
        <v>3830.1315299999997</v>
      </c>
      <c r="G125" s="23"/>
      <c r="H125" s="23"/>
      <c r="I125" s="23"/>
      <c r="J125" s="27"/>
    </row>
    <row r="126" spans="2:10" hidden="1" x14ac:dyDescent="0.25">
      <c r="B126" s="23">
        <v>4</v>
      </c>
      <c r="C126" s="23" t="s">
        <v>35</v>
      </c>
      <c r="D126" s="23" t="s">
        <v>31</v>
      </c>
      <c r="E126" s="28">
        <v>3772.8333499999999</v>
      </c>
      <c r="G126" s="23"/>
      <c r="H126" s="23"/>
      <c r="I126" s="23"/>
      <c r="J126" s="28"/>
    </row>
    <row r="127" spans="2:10" hidden="1" x14ac:dyDescent="0.25">
      <c r="B127" s="23">
        <v>5</v>
      </c>
      <c r="C127" s="23" t="s">
        <v>35</v>
      </c>
      <c r="D127" s="23" t="s">
        <v>31</v>
      </c>
      <c r="E127" s="27">
        <v>3884.7826500000001</v>
      </c>
      <c r="G127" s="23"/>
      <c r="H127" s="23"/>
      <c r="I127" s="23"/>
      <c r="J127" s="27"/>
    </row>
    <row r="128" spans="2:10" hidden="1" x14ac:dyDescent="0.25">
      <c r="B128" s="23">
        <v>6</v>
      </c>
      <c r="C128" s="23" t="s">
        <v>35</v>
      </c>
      <c r="D128" s="23" t="s">
        <v>31</v>
      </c>
      <c r="E128" s="28">
        <v>5210.1978600000002</v>
      </c>
      <c r="G128" s="23"/>
      <c r="H128" s="23"/>
      <c r="I128" s="23"/>
      <c r="J128" s="28"/>
    </row>
    <row r="129" spans="2:10" hidden="1" x14ac:dyDescent="0.25">
      <c r="B129" s="23">
        <v>7</v>
      </c>
      <c r="C129" s="23" t="s">
        <v>35</v>
      </c>
      <c r="D129" s="23" t="s">
        <v>31</v>
      </c>
      <c r="E129" s="27">
        <v>5181.1123200000002</v>
      </c>
      <c r="G129" s="23"/>
      <c r="H129" s="23"/>
      <c r="I129" s="23"/>
      <c r="J129" s="27"/>
    </row>
    <row r="130" spans="2:10" hidden="1" x14ac:dyDescent="0.25">
      <c r="B130" s="23">
        <v>8</v>
      </c>
      <c r="C130" s="23" t="s">
        <v>35</v>
      </c>
      <c r="D130" s="23" t="s">
        <v>31</v>
      </c>
      <c r="E130" s="28">
        <v>4888.2487499999997</v>
      </c>
      <c r="G130" s="23"/>
      <c r="H130" s="23"/>
      <c r="I130" s="23"/>
      <c r="J130" s="28"/>
    </row>
    <row r="131" spans="2:10" hidden="1" x14ac:dyDescent="0.25">
      <c r="B131" s="23">
        <v>9</v>
      </c>
      <c r="C131" s="23" t="s">
        <v>35</v>
      </c>
      <c r="D131" s="23" t="s">
        <v>31</v>
      </c>
      <c r="E131" s="27">
        <v>5274.3312000000005</v>
      </c>
      <c r="G131" s="23"/>
      <c r="H131" s="23"/>
      <c r="I131" s="23"/>
      <c r="J131" s="27"/>
    </row>
    <row r="132" spans="2:10" hidden="1" x14ac:dyDescent="0.25">
      <c r="B132" s="23">
        <v>10</v>
      </c>
      <c r="C132" s="23" t="s">
        <v>35</v>
      </c>
      <c r="D132" s="23" t="s">
        <v>31</v>
      </c>
      <c r="E132" s="28">
        <v>5244.2831999999999</v>
      </c>
      <c r="G132" s="23"/>
      <c r="H132" s="23"/>
      <c r="I132" s="23"/>
      <c r="J132" s="28"/>
    </row>
    <row r="133" spans="2:10" hidden="1" x14ac:dyDescent="0.25">
      <c r="B133" s="23">
        <v>11</v>
      </c>
      <c r="C133" s="23" t="s">
        <v>35</v>
      </c>
      <c r="D133" s="23" t="s">
        <v>31</v>
      </c>
      <c r="E133" s="27">
        <v>5587.8251650000002</v>
      </c>
      <c r="G133" s="23"/>
      <c r="H133" s="23"/>
      <c r="I133" s="23"/>
      <c r="J133" s="27"/>
    </row>
    <row r="134" spans="2:10" hidden="1" x14ac:dyDescent="0.25">
      <c r="B134" s="23">
        <v>12</v>
      </c>
      <c r="C134" s="23" t="s">
        <v>35</v>
      </c>
      <c r="D134" s="23" t="s">
        <v>31</v>
      </c>
      <c r="E134" s="28">
        <v>5359.5870750000004</v>
      </c>
      <c r="G134" s="23"/>
      <c r="H134" s="23"/>
      <c r="I134" s="23"/>
      <c r="J134" s="28"/>
    </row>
    <row r="135" spans="2:10" hidden="1" x14ac:dyDescent="0.25">
      <c r="B135" s="23">
        <v>13</v>
      </c>
      <c r="C135" s="23" t="s">
        <v>35</v>
      </c>
      <c r="D135" s="23" t="s">
        <v>31</v>
      </c>
      <c r="E135" s="27">
        <v>3959.8699200000001</v>
      </c>
      <c r="G135" s="23"/>
      <c r="H135" s="23"/>
      <c r="I135" s="23"/>
      <c r="J135" s="27"/>
    </row>
    <row r="136" spans="2:10" hidden="1" x14ac:dyDescent="0.25">
      <c r="B136" s="23">
        <v>14</v>
      </c>
      <c r="C136" s="23" t="s">
        <v>35</v>
      </c>
      <c r="D136" s="23" t="s">
        <v>31</v>
      </c>
      <c r="E136" s="28">
        <v>5390.7429900000006</v>
      </c>
      <c r="G136" s="23"/>
      <c r="H136" s="23"/>
      <c r="I136" s="23"/>
      <c r="J136" s="28"/>
    </row>
    <row r="137" spans="2:10" hidden="1" x14ac:dyDescent="0.25">
      <c r="B137" s="23">
        <v>15</v>
      </c>
      <c r="C137" s="23" t="s">
        <v>35</v>
      </c>
      <c r="D137" s="23" t="s">
        <v>31</v>
      </c>
      <c r="E137" s="27">
        <v>5666.1192000000001</v>
      </c>
      <c r="G137" s="23"/>
      <c r="H137" s="23"/>
      <c r="I137" s="23"/>
      <c r="J137" s="27"/>
    </row>
    <row r="138" spans="2:10" hidden="1" x14ac:dyDescent="0.25">
      <c r="B138" s="23">
        <v>16</v>
      </c>
      <c r="C138" s="23" t="s">
        <v>35</v>
      </c>
      <c r="D138" s="23" t="s">
        <v>31</v>
      </c>
      <c r="E138" s="28">
        <v>4807.4597999999996</v>
      </c>
      <c r="G138" s="23"/>
      <c r="H138" s="23"/>
      <c r="I138" s="23"/>
      <c r="J138" s="28"/>
    </row>
    <row r="139" spans="2:10" hidden="1" x14ac:dyDescent="0.25">
      <c r="B139" s="23">
        <v>17</v>
      </c>
      <c r="C139" s="23" t="s">
        <v>35</v>
      </c>
      <c r="D139" s="23" t="s">
        <v>31</v>
      </c>
      <c r="E139" s="27">
        <v>4194.4319999999998</v>
      </c>
      <c r="G139" s="23"/>
      <c r="H139" s="23"/>
      <c r="I139" s="23"/>
      <c r="J139" s="27"/>
    </row>
    <row r="140" spans="2:10" hidden="1" x14ac:dyDescent="0.25">
      <c r="B140" s="23">
        <v>18</v>
      </c>
      <c r="C140" s="23" t="s">
        <v>35</v>
      </c>
      <c r="D140" s="23" t="s">
        <v>31</v>
      </c>
      <c r="E140" s="28">
        <v>4499.4560650000003</v>
      </c>
      <c r="G140" s="23"/>
      <c r="H140" s="23"/>
      <c r="I140" s="23"/>
      <c r="J140" s="28"/>
    </row>
    <row r="141" spans="2:10" hidden="1" x14ac:dyDescent="0.25">
      <c r="B141" s="23">
        <v>19</v>
      </c>
      <c r="C141" s="23" t="s">
        <v>35</v>
      </c>
      <c r="D141" s="23" t="s">
        <v>31</v>
      </c>
      <c r="E141" s="27">
        <v>4601.0403432000003</v>
      </c>
      <c r="G141" s="23"/>
      <c r="H141" s="23"/>
      <c r="I141" s="23"/>
      <c r="J141" s="27"/>
    </row>
    <row r="142" spans="2:10" hidden="1" x14ac:dyDescent="0.25">
      <c r="B142" s="23">
        <v>20</v>
      </c>
      <c r="C142" s="23" t="s">
        <v>35</v>
      </c>
      <c r="D142" s="23" t="s">
        <v>31</v>
      </c>
      <c r="E142" s="28">
        <v>4748.42742</v>
      </c>
      <c r="G142" s="23"/>
      <c r="H142" s="23"/>
      <c r="I142" s="23"/>
      <c r="J142" s="28"/>
    </row>
    <row r="143" spans="2:10" hidden="1" x14ac:dyDescent="0.25">
      <c r="B143" s="23">
        <v>21</v>
      </c>
      <c r="C143" s="23" t="s">
        <v>35</v>
      </c>
      <c r="D143" s="23" t="s">
        <v>31</v>
      </c>
      <c r="E143" s="27">
        <v>4715.0380800000003</v>
      </c>
      <c r="G143" s="23"/>
      <c r="H143" s="23"/>
      <c r="I143" s="23"/>
      <c r="J143" s="27"/>
    </row>
    <row r="144" spans="2:10" hidden="1" x14ac:dyDescent="0.25">
      <c r="B144" s="23">
        <v>22</v>
      </c>
      <c r="C144" s="23" t="s">
        <v>35</v>
      </c>
      <c r="D144" s="23" t="s">
        <v>31</v>
      </c>
      <c r="E144" s="28">
        <v>4886.9472999999998</v>
      </c>
      <c r="G144" s="23"/>
      <c r="H144" s="23"/>
      <c r="I144" s="23"/>
      <c r="J144" s="28"/>
    </row>
    <row r="145" spans="2:10" hidden="1" x14ac:dyDescent="0.25">
      <c r="B145" s="23">
        <v>23</v>
      </c>
      <c r="C145" s="23" t="s">
        <v>35</v>
      </c>
      <c r="D145" s="23" t="s">
        <v>31</v>
      </c>
      <c r="E145" s="27">
        <v>4368.8339249999999</v>
      </c>
      <c r="G145" s="23"/>
      <c r="H145" s="23"/>
      <c r="I145" s="23"/>
      <c r="J145" s="27"/>
    </row>
    <row r="146" spans="2:10" hidden="1" x14ac:dyDescent="0.25">
      <c r="B146" s="23">
        <v>24</v>
      </c>
      <c r="C146" s="23" t="s">
        <v>35</v>
      </c>
      <c r="D146" s="23" t="s">
        <v>31</v>
      </c>
      <c r="E146" s="28">
        <v>4603.1573099999996</v>
      </c>
      <c r="G146" s="23"/>
      <c r="H146" s="23"/>
      <c r="I146" s="23"/>
      <c r="J146" s="28"/>
    </row>
    <row r="147" spans="2:10" hidden="1" x14ac:dyDescent="0.25">
      <c r="B147" s="23">
        <v>25</v>
      </c>
      <c r="C147" s="23" t="s">
        <v>35</v>
      </c>
      <c r="D147" s="23" t="s">
        <v>31</v>
      </c>
      <c r="E147" s="27">
        <v>4158.1475</v>
      </c>
      <c r="G147" s="23"/>
      <c r="H147" s="23"/>
      <c r="I147" s="23"/>
      <c r="J147" s="27"/>
    </row>
    <row r="148" spans="2:10" hidden="1" x14ac:dyDescent="0.25">
      <c r="B148" s="23">
        <v>26</v>
      </c>
      <c r="C148" s="23" t="s">
        <v>35</v>
      </c>
      <c r="D148" s="23" t="s">
        <v>31</v>
      </c>
      <c r="E148" s="28">
        <v>4828.57564</v>
      </c>
      <c r="G148" s="23"/>
      <c r="H148" s="23"/>
      <c r="I148" s="23"/>
      <c r="J148" s="28"/>
    </row>
    <row r="149" spans="2:10" hidden="1" x14ac:dyDescent="0.25">
      <c r="B149" s="23">
        <v>27</v>
      </c>
      <c r="C149" s="23" t="s">
        <v>35</v>
      </c>
      <c r="D149" s="23" t="s">
        <v>31</v>
      </c>
      <c r="E149" s="27">
        <v>4792.0801500000007</v>
      </c>
      <c r="G149" s="23"/>
      <c r="H149" s="23"/>
      <c r="I149" s="23"/>
      <c r="J149" s="27"/>
    </row>
    <row r="150" spans="2:10" hidden="1" x14ac:dyDescent="0.25">
      <c r="B150" s="23">
        <v>28</v>
      </c>
      <c r="C150" s="23" t="s">
        <v>35</v>
      </c>
      <c r="D150" s="23" t="s">
        <v>31</v>
      </c>
      <c r="E150" s="28">
        <v>4845.5198399999999</v>
      </c>
      <c r="G150" s="23"/>
      <c r="H150" s="23"/>
      <c r="I150" s="23"/>
      <c r="J150" s="28"/>
    </row>
    <row r="151" spans="2:10" hidden="1" x14ac:dyDescent="0.25">
      <c r="B151" s="23">
        <v>29</v>
      </c>
      <c r="C151" s="23" t="s">
        <v>35</v>
      </c>
      <c r="D151" s="23" t="s">
        <v>31</v>
      </c>
      <c r="E151" s="27">
        <v>4649.8143300000002</v>
      </c>
      <c r="G151" s="23"/>
      <c r="H151" s="23"/>
      <c r="I151" s="23"/>
      <c r="J151" s="27"/>
    </row>
    <row r="152" spans="2:10" hidden="1" x14ac:dyDescent="0.25">
      <c r="B152" s="23">
        <v>30</v>
      </c>
      <c r="C152" s="23" t="s">
        <v>35</v>
      </c>
      <c r="D152" s="23" t="s">
        <v>31</v>
      </c>
      <c r="E152" s="28">
        <v>4908.5024800000001</v>
      </c>
      <c r="G152" s="23"/>
      <c r="H152" s="23"/>
      <c r="I152" s="23"/>
      <c r="J152" s="28"/>
    </row>
    <row r="153" spans="2:10" hidden="1" x14ac:dyDescent="0.25">
      <c r="B153" s="23">
        <v>31</v>
      </c>
      <c r="C153" s="23" t="s">
        <v>35</v>
      </c>
      <c r="D153" s="23" t="s">
        <v>31</v>
      </c>
      <c r="E153" s="27">
        <v>4249.3021479999998</v>
      </c>
      <c r="G153" s="23"/>
      <c r="H153" s="23"/>
      <c r="I153" s="23"/>
      <c r="J153" s="27"/>
    </row>
    <row r="154" spans="2:10" hidden="1" x14ac:dyDescent="0.25">
      <c r="B154" s="23">
        <v>32</v>
      </c>
      <c r="C154" s="23" t="s">
        <v>35</v>
      </c>
      <c r="D154" s="23" t="s">
        <v>31</v>
      </c>
      <c r="E154" s="28">
        <v>4719.7267199999997</v>
      </c>
      <c r="G154" s="23"/>
      <c r="H154" s="23"/>
      <c r="I154" s="23"/>
      <c r="J154" s="28"/>
    </row>
    <row r="155" spans="2:10" hidden="1" x14ac:dyDescent="0.25">
      <c r="B155" s="23">
        <v>33</v>
      </c>
      <c r="C155" s="23" t="s">
        <v>35</v>
      </c>
      <c r="D155" s="23" t="s">
        <v>31</v>
      </c>
      <c r="E155" s="27">
        <v>4710.1478399999996</v>
      </c>
      <c r="G155" s="23"/>
      <c r="H155" s="23"/>
      <c r="I155" s="23"/>
      <c r="J155" s="27"/>
    </row>
    <row r="156" spans="2:10" hidden="1" x14ac:dyDescent="0.25">
      <c r="B156" s="23">
        <v>34</v>
      </c>
      <c r="C156" s="23" t="s">
        <v>35</v>
      </c>
      <c r="D156" s="23" t="s">
        <v>31</v>
      </c>
      <c r="E156" s="28">
        <v>4792.0524429555544</v>
      </c>
      <c r="G156" s="23"/>
      <c r="H156" s="23"/>
      <c r="I156" s="23"/>
      <c r="J156" s="28"/>
    </row>
    <row r="157" spans="2:10" hidden="1" x14ac:dyDescent="0.25">
      <c r="B157" s="23">
        <v>35</v>
      </c>
      <c r="C157" s="23" t="s">
        <v>35</v>
      </c>
      <c r="D157" s="23" t="s">
        <v>31</v>
      </c>
      <c r="E157" s="27">
        <v>5023</v>
      </c>
      <c r="G157" s="23"/>
      <c r="H157" s="23"/>
      <c r="I157" s="23"/>
      <c r="J157" s="27"/>
    </row>
    <row r="158" spans="2:10" hidden="1" x14ac:dyDescent="0.25">
      <c r="B158" s="23">
        <v>36</v>
      </c>
      <c r="C158" s="23" t="s">
        <v>35</v>
      </c>
      <c r="D158" s="23" t="s">
        <v>31</v>
      </c>
      <c r="E158" s="28">
        <v>4690</v>
      </c>
      <c r="G158" s="23"/>
      <c r="H158" s="23"/>
      <c r="I158" s="23"/>
      <c r="J158" s="28"/>
    </row>
    <row r="159" spans="2:10" hidden="1" x14ac:dyDescent="0.25">
      <c r="B159" s="23">
        <v>37</v>
      </c>
      <c r="C159" s="23" t="s">
        <v>35</v>
      </c>
      <c r="D159" s="23" t="s">
        <v>31</v>
      </c>
      <c r="E159" s="27">
        <v>5714</v>
      </c>
      <c r="G159" s="23"/>
      <c r="H159" s="23"/>
      <c r="I159" s="23"/>
      <c r="J159" s="27"/>
    </row>
    <row r="160" spans="2:10" hidden="1" x14ac:dyDescent="0.25">
      <c r="B160" s="23">
        <v>38</v>
      </c>
      <c r="C160" s="23" t="s">
        <v>35</v>
      </c>
      <c r="D160" s="23" t="s">
        <v>31</v>
      </c>
      <c r="E160" s="29">
        <v>5224</v>
      </c>
      <c r="G160" s="23"/>
      <c r="H160" s="23"/>
      <c r="I160" s="23"/>
      <c r="J160" s="29"/>
    </row>
    <row r="161" spans="2:10" hidden="1" x14ac:dyDescent="0.25">
      <c r="B161" s="23">
        <v>39</v>
      </c>
      <c r="C161" s="23" t="s">
        <v>35</v>
      </c>
      <c r="D161" s="23" t="s">
        <v>31</v>
      </c>
      <c r="E161" s="30">
        <v>4875.1361567999993</v>
      </c>
      <c r="G161" s="23"/>
      <c r="H161" s="23"/>
      <c r="I161" s="23"/>
      <c r="J161" s="30"/>
    </row>
    <row r="162" spans="2:10" hidden="1" x14ac:dyDescent="0.25">
      <c r="B162" s="23">
        <v>40</v>
      </c>
      <c r="C162" s="23" t="s">
        <v>35</v>
      </c>
      <c r="D162" s="23" t="s">
        <v>31</v>
      </c>
      <c r="E162" s="31">
        <v>5610.2375000000002</v>
      </c>
      <c r="G162" s="23"/>
      <c r="H162" s="23"/>
      <c r="I162" s="23"/>
      <c r="J162" s="31"/>
    </row>
    <row r="163" spans="2:10" x14ac:dyDescent="0.25">
      <c r="B163" s="23">
        <v>1</v>
      </c>
      <c r="C163" s="23" t="s">
        <v>35</v>
      </c>
      <c r="D163" s="23" t="s">
        <v>32</v>
      </c>
      <c r="E163" s="27">
        <v>163.70242499999998</v>
      </c>
      <c r="G163" s="23"/>
      <c r="H163" s="23"/>
      <c r="I163" s="23"/>
      <c r="J163" s="27"/>
    </row>
    <row r="164" spans="2:10" x14ac:dyDescent="0.25">
      <c r="B164" s="23">
        <v>2</v>
      </c>
      <c r="C164" s="23" t="s">
        <v>35</v>
      </c>
      <c r="D164" s="23" t="s">
        <v>32</v>
      </c>
      <c r="E164" s="28">
        <v>211.76966250000001</v>
      </c>
      <c r="G164" s="23"/>
      <c r="H164" s="23"/>
      <c r="I164" s="23"/>
      <c r="J164" s="28"/>
    </row>
    <row r="165" spans="2:10" x14ac:dyDescent="0.25">
      <c r="B165" s="23">
        <v>3</v>
      </c>
      <c r="C165" s="23" t="s">
        <v>35</v>
      </c>
      <c r="D165" s="23" t="s">
        <v>32</v>
      </c>
      <c r="E165" s="27">
        <v>181.8916275</v>
      </c>
      <c r="G165" s="23"/>
      <c r="H165" s="23"/>
      <c r="I165" s="23"/>
      <c r="J165" s="27"/>
    </row>
    <row r="166" spans="2:10" x14ac:dyDescent="0.25">
      <c r="B166" s="23">
        <v>4</v>
      </c>
      <c r="C166" s="23" t="s">
        <v>35</v>
      </c>
      <c r="D166" s="23" t="s">
        <v>32</v>
      </c>
      <c r="E166" s="28">
        <v>210.25237799999999</v>
      </c>
      <c r="G166" s="23"/>
      <c r="H166" s="23"/>
      <c r="I166" s="23"/>
      <c r="J166" s="28"/>
    </row>
    <row r="167" spans="2:10" x14ac:dyDescent="0.25">
      <c r="B167" s="23">
        <v>5</v>
      </c>
      <c r="C167" s="23" t="s">
        <v>35</v>
      </c>
      <c r="D167" s="23" t="s">
        <v>32</v>
      </c>
      <c r="E167" s="27">
        <v>101.88419999999999</v>
      </c>
      <c r="G167" s="23"/>
      <c r="H167" s="23"/>
      <c r="I167" s="23"/>
      <c r="J167" s="27"/>
    </row>
    <row r="168" spans="2:10" x14ac:dyDescent="0.25">
      <c r="B168" s="23">
        <v>6</v>
      </c>
      <c r="C168" s="23" t="s">
        <v>35</v>
      </c>
      <c r="D168" s="23" t="s">
        <v>32</v>
      </c>
      <c r="E168" s="28">
        <v>160.33718999999999</v>
      </c>
      <c r="G168" s="23"/>
      <c r="H168" s="23"/>
      <c r="I168" s="23"/>
      <c r="J168" s="28"/>
    </row>
    <row r="169" spans="2:10" x14ac:dyDescent="0.25">
      <c r="B169" s="23">
        <v>7</v>
      </c>
      <c r="C169" s="23" t="s">
        <v>35</v>
      </c>
      <c r="D169" s="23" t="s">
        <v>32</v>
      </c>
      <c r="E169" s="27">
        <v>184.87844250000001</v>
      </c>
      <c r="G169" s="23"/>
      <c r="H169" s="23"/>
      <c r="I169" s="23"/>
      <c r="J169" s="27"/>
    </row>
    <row r="170" spans="2:10" x14ac:dyDescent="0.25">
      <c r="B170" s="23">
        <v>8</v>
      </c>
      <c r="C170" s="23" t="s">
        <v>35</v>
      </c>
      <c r="D170" s="23" t="s">
        <v>32</v>
      </c>
      <c r="E170" s="28">
        <v>162.507465</v>
      </c>
      <c r="G170" s="23"/>
      <c r="H170" s="23"/>
      <c r="I170" s="23"/>
      <c r="J170" s="28"/>
    </row>
    <row r="171" spans="2:10" x14ac:dyDescent="0.25">
      <c r="B171" s="23">
        <v>9</v>
      </c>
      <c r="C171" s="23" t="s">
        <v>35</v>
      </c>
      <c r="D171" s="23" t="s">
        <v>32</v>
      </c>
      <c r="E171" s="27">
        <v>167.73</v>
      </c>
      <c r="G171" s="23"/>
      <c r="H171" s="23"/>
      <c r="I171" s="23"/>
      <c r="J171" s="27"/>
    </row>
    <row r="172" spans="2:10" x14ac:dyDescent="0.25">
      <c r="B172" s="23">
        <v>10</v>
      </c>
      <c r="C172" s="23" t="s">
        <v>35</v>
      </c>
      <c r="D172" s="23" t="s">
        <v>32</v>
      </c>
      <c r="E172" s="28">
        <v>160.45315199999999</v>
      </c>
      <c r="G172" s="23"/>
      <c r="H172" s="23"/>
      <c r="I172" s="23"/>
      <c r="J172" s="28"/>
    </row>
    <row r="173" spans="2:10" x14ac:dyDescent="0.25">
      <c r="B173" s="23">
        <v>11</v>
      </c>
      <c r="C173" s="23" t="s">
        <v>35</v>
      </c>
      <c r="D173" s="23" t="s">
        <v>32</v>
      </c>
      <c r="E173" s="27">
        <v>171.38799600000002</v>
      </c>
      <c r="G173" s="23"/>
      <c r="H173" s="23"/>
      <c r="I173" s="23"/>
      <c r="J173" s="27"/>
    </row>
    <row r="174" spans="2:10" x14ac:dyDescent="0.25">
      <c r="B174" s="23">
        <v>12</v>
      </c>
      <c r="C174" s="23" t="s">
        <v>35</v>
      </c>
      <c r="D174" s="23" t="s">
        <v>32</v>
      </c>
      <c r="E174" s="28">
        <v>106.98712199999999</v>
      </c>
      <c r="G174" s="23"/>
      <c r="H174" s="23"/>
      <c r="I174" s="23"/>
      <c r="J174" s="28"/>
    </row>
    <row r="175" spans="2:10" x14ac:dyDescent="0.25">
      <c r="B175" s="23">
        <v>13</v>
      </c>
      <c r="C175" s="23" t="s">
        <v>35</v>
      </c>
      <c r="D175" s="23" t="s">
        <v>32</v>
      </c>
      <c r="E175" s="27">
        <v>78.470369999999988</v>
      </c>
      <c r="G175" s="23"/>
      <c r="H175" s="23"/>
      <c r="I175" s="23"/>
      <c r="J175" s="27"/>
    </row>
    <row r="176" spans="2:10" x14ac:dyDescent="0.25">
      <c r="B176" s="23">
        <v>14</v>
      </c>
      <c r="C176" s="23" t="s">
        <v>35</v>
      </c>
      <c r="D176" s="23" t="s">
        <v>32</v>
      </c>
      <c r="E176" s="28">
        <v>128.39500799999999</v>
      </c>
      <c r="G176" s="23"/>
      <c r="H176" s="23"/>
      <c r="I176" s="23"/>
      <c r="J176" s="28"/>
    </row>
    <row r="177" spans="2:10" x14ac:dyDescent="0.25">
      <c r="B177" s="23">
        <v>15</v>
      </c>
      <c r="C177" s="23" t="s">
        <v>35</v>
      </c>
      <c r="D177" s="23" t="s">
        <v>32</v>
      </c>
      <c r="E177" s="27">
        <v>122.87289999999999</v>
      </c>
      <c r="G177" s="23"/>
      <c r="H177" s="23"/>
      <c r="I177" s="23"/>
      <c r="J177" s="27"/>
    </row>
    <row r="178" spans="2:10" x14ac:dyDescent="0.25">
      <c r="B178" s="23">
        <v>16</v>
      </c>
      <c r="C178" s="23" t="s">
        <v>35</v>
      </c>
      <c r="D178" s="23" t="s">
        <v>32</v>
      </c>
      <c r="E178" s="28">
        <v>110.4906</v>
      </c>
      <c r="G178" s="23"/>
      <c r="H178" s="23"/>
      <c r="I178" s="23"/>
      <c r="J178" s="28"/>
    </row>
    <row r="179" spans="2:10" x14ac:dyDescent="0.25">
      <c r="B179" s="23">
        <v>17</v>
      </c>
      <c r="C179" s="23" t="s">
        <v>35</v>
      </c>
      <c r="D179" s="23" t="s">
        <v>32</v>
      </c>
      <c r="E179" s="27">
        <v>107.50704800000001</v>
      </c>
      <c r="G179" s="23"/>
      <c r="H179" s="23"/>
      <c r="I179" s="23"/>
      <c r="J179" s="27"/>
    </row>
    <row r="180" spans="2:10" x14ac:dyDescent="0.25">
      <c r="B180" s="23">
        <v>18</v>
      </c>
      <c r="C180" s="23" t="s">
        <v>35</v>
      </c>
      <c r="D180" s="23" t="s">
        <v>32</v>
      </c>
      <c r="E180" s="28">
        <v>141.917832</v>
      </c>
      <c r="G180" s="23"/>
      <c r="H180" s="23"/>
      <c r="I180" s="23"/>
      <c r="J180" s="28"/>
    </row>
    <row r="181" spans="2:10" x14ac:dyDescent="0.25">
      <c r="B181" s="23">
        <v>19</v>
      </c>
      <c r="C181" s="23" t="s">
        <v>35</v>
      </c>
      <c r="D181" s="23" t="s">
        <v>32</v>
      </c>
      <c r="E181" s="27">
        <v>120.05204400000001</v>
      </c>
      <c r="G181" s="23"/>
      <c r="H181" s="23"/>
      <c r="I181" s="23"/>
      <c r="J181" s="27"/>
    </row>
    <row r="182" spans="2:10" x14ac:dyDescent="0.25">
      <c r="B182" s="23">
        <v>20</v>
      </c>
      <c r="C182" s="23" t="s">
        <v>35</v>
      </c>
      <c r="D182" s="23" t="s">
        <v>32</v>
      </c>
      <c r="E182" s="28">
        <v>133.11251800000002</v>
      </c>
      <c r="G182" s="23"/>
      <c r="H182" s="23"/>
      <c r="I182" s="23"/>
      <c r="J182" s="28"/>
    </row>
    <row r="183" spans="2:10" x14ac:dyDescent="0.25">
      <c r="B183" s="23">
        <v>21</v>
      </c>
      <c r="C183" s="23" t="s">
        <v>35</v>
      </c>
      <c r="D183" s="23" t="s">
        <v>32</v>
      </c>
      <c r="E183" s="27">
        <v>151.481638</v>
      </c>
      <c r="G183" s="23"/>
      <c r="H183" s="23"/>
      <c r="I183" s="23"/>
      <c r="J183" s="27"/>
    </row>
    <row r="184" spans="2:10" x14ac:dyDescent="0.25">
      <c r="B184" s="23">
        <v>22</v>
      </c>
      <c r="C184" s="23" t="s">
        <v>35</v>
      </c>
      <c r="D184" s="23" t="s">
        <v>32</v>
      </c>
      <c r="E184" s="28">
        <v>152.5248</v>
      </c>
      <c r="G184" s="23"/>
      <c r="H184" s="23"/>
      <c r="I184" s="23"/>
      <c r="J184" s="28"/>
    </row>
    <row r="185" spans="2:10" x14ac:dyDescent="0.25">
      <c r="B185" s="23">
        <v>23</v>
      </c>
      <c r="C185" s="23" t="s">
        <v>35</v>
      </c>
      <c r="D185" s="23" t="s">
        <v>32</v>
      </c>
      <c r="E185" s="27">
        <v>170.532027</v>
      </c>
      <c r="G185" s="23"/>
      <c r="H185" s="23"/>
      <c r="I185" s="23"/>
      <c r="J185" s="27"/>
    </row>
    <row r="186" spans="2:10" x14ac:dyDescent="0.25">
      <c r="B186" s="23">
        <v>24</v>
      </c>
      <c r="C186" s="23" t="s">
        <v>35</v>
      </c>
      <c r="D186" s="23" t="s">
        <v>32</v>
      </c>
      <c r="E186" s="28">
        <v>159.29036100000002</v>
      </c>
      <c r="G186" s="23"/>
      <c r="H186" s="23"/>
      <c r="I186" s="23"/>
      <c r="J186" s="28"/>
    </row>
    <row r="187" spans="2:10" x14ac:dyDescent="0.25">
      <c r="B187" s="23">
        <v>25</v>
      </c>
      <c r="C187" s="23" t="s">
        <v>35</v>
      </c>
      <c r="D187" s="23" t="s">
        <v>32</v>
      </c>
      <c r="E187" s="27">
        <v>203.85405600000001</v>
      </c>
      <c r="G187" s="23"/>
      <c r="H187" s="23"/>
      <c r="I187" s="23"/>
      <c r="J187" s="27"/>
    </row>
    <row r="188" spans="2:10" x14ac:dyDescent="0.25">
      <c r="B188" s="23">
        <v>26</v>
      </c>
      <c r="C188" s="23" t="s">
        <v>35</v>
      </c>
      <c r="D188" s="23" t="s">
        <v>32</v>
      </c>
      <c r="E188" s="28">
        <v>193.16220000000001</v>
      </c>
      <c r="G188" s="23"/>
      <c r="H188" s="23"/>
      <c r="I188" s="23"/>
      <c r="J188" s="28"/>
    </row>
    <row r="189" spans="2:10" x14ac:dyDescent="0.25">
      <c r="B189" s="23">
        <v>27</v>
      </c>
      <c r="C189" s="23" t="s">
        <v>35</v>
      </c>
      <c r="D189" s="23" t="s">
        <v>32</v>
      </c>
      <c r="E189" s="27">
        <v>218.82401000000002</v>
      </c>
      <c r="G189" s="23"/>
      <c r="H189" s="23"/>
      <c r="I189" s="23"/>
      <c r="J189" s="27"/>
    </row>
    <row r="190" spans="2:10" x14ac:dyDescent="0.25">
      <c r="B190" s="23">
        <v>28</v>
      </c>
      <c r="C190" s="23" t="s">
        <v>35</v>
      </c>
      <c r="D190" s="23" t="s">
        <v>32</v>
      </c>
      <c r="E190" s="28">
        <v>212.13720000000001</v>
      </c>
      <c r="G190" s="23"/>
      <c r="H190" s="23"/>
      <c r="I190" s="23"/>
      <c r="J190" s="28"/>
    </row>
    <row r="191" spans="2:10" x14ac:dyDescent="0.25">
      <c r="B191" s="23">
        <v>29</v>
      </c>
      <c r="C191" s="23" t="s">
        <v>35</v>
      </c>
      <c r="D191" s="23" t="s">
        <v>32</v>
      </c>
      <c r="E191" s="27">
        <v>215.00367</v>
      </c>
      <c r="G191" s="23"/>
      <c r="H191" s="23"/>
      <c r="I191" s="23"/>
      <c r="J191" s="27"/>
    </row>
    <row r="192" spans="2:10" x14ac:dyDescent="0.25">
      <c r="B192" s="23">
        <v>30</v>
      </c>
      <c r="C192" s="23" t="s">
        <v>35</v>
      </c>
      <c r="D192" s="23" t="s">
        <v>32</v>
      </c>
      <c r="E192" s="28">
        <v>224.84133</v>
      </c>
      <c r="G192" s="23"/>
      <c r="H192" s="23"/>
      <c r="I192" s="23"/>
      <c r="J192" s="28"/>
    </row>
    <row r="193" spans="2:10" x14ac:dyDescent="0.25">
      <c r="B193" s="23">
        <v>31</v>
      </c>
      <c r="C193" s="23" t="s">
        <v>35</v>
      </c>
      <c r="D193" s="23" t="s">
        <v>32</v>
      </c>
      <c r="E193" s="27">
        <v>236</v>
      </c>
      <c r="G193" s="23"/>
      <c r="H193" s="23"/>
      <c r="I193" s="23"/>
      <c r="J193" s="27"/>
    </row>
    <row r="194" spans="2:10" x14ac:dyDescent="0.25">
      <c r="B194" s="23">
        <v>32</v>
      </c>
      <c r="C194" s="23" t="s">
        <v>35</v>
      </c>
      <c r="D194" s="23" t="s">
        <v>32</v>
      </c>
      <c r="E194" s="28">
        <v>204</v>
      </c>
      <c r="G194" s="23"/>
      <c r="H194" s="23"/>
      <c r="I194" s="23"/>
      <c r="J194" s="28"/>
    </row>
    <row r="195" spans="2:10" x14ac:dyDescent="0.25">
      <c r="B195" s="23">
        <v>33</v>
      </c>
      <c r="C195" s="23" t="s">
        <v>35</v>
      </c>
      <c r="D195" s="23" t="s">
        <v>32</v>
      </c>
      <c r="E195" s="27">
        <v>210</v>
      </c>
      <c r="G195" s="23"/>
      <c r="H195" s="23"/>
      <c r="I195" s="23"/>
      <c r="J195" s="27"/>
    </row>
    <row r="196" spans="2:10" x14ac:dyDescent="0.25">
      <c r="B196" s="23">
        <v>34</v>
      </c>
      <c r="C196" s="23" t="s">
        <v>35</v>
      </c>
      <c r="D196" s="23" t="s">
        <v>32</v>
      </c>
      <c r="E196" s="28">
        <v>206</v>
      </c>
      <c r="G196" s="23"/>
      <c r="H196" s="23"/>
      <c r="I196" s="23"/>
      <c r="J196" s="28"/>
    </row>
    <row r="197" spans="2:10" x14ac:dyDescent="0.25">
      <c r="B197" s="23">
        <v>35</v>
      </c>
      <c r="C197" s="23" t="s">
        <v>35</v>
      </c>
      <c r="D197" s="23" t="s">
        <v>32</v>
      </c>
      <c r="E197" s="27">
        <v>211</v>
      </c>
      <c r="G197" s="23"/>
      <c r="H197" s="23"/>
      <c r="I197" s="23"/>
      <c r="J197" s="27"/>
    </row>
    <row r="198" spans="2:10" x14ac:dyDescent="0.25">
      <c r="B198" s="23">
        <v>36</v>
      </c>
      <c r="C198" s="23" t="s">
        <v>35</v>
      </c>
      <c r="D198" s="23" t="s">
        <v>32</v>
      </c>
      <c r="E198" s="28">
        <v>228</v>
      </c>
      <c r="G198" s="23"/>
      <c r="H198" s="23"/>
      <c r="I198" s="23"/>
      <c r="J198" s="28"/>
    </row>
    <row r="199" spans="2:10" x14ac:dyDescent="0.25">
      <c r="B199" s="23">
        <v>37</v>
      </c>
      <c r="C199" s="23" t="s">
        <v>35</v>
      </c>
      <c r="D199" s="23" t="s">
        <v>32</v>
      </c>
      <c r="E199" s="27">
        <v>156</v>
      </c>
      <c r="G199" s="23"/>
      <c r="H199" s="23"/>
      <c r="I199" s="23"/>
      <c r="J199" s="27"/>
    </row>
    <row r="200" spans="2:10" x14ac:dyDescent="0.25">
      <c r="B200" s="23">
        <v>38</v>
      </c>
      <c r="C200" s="23" t="s">
        <v>35</v>
      </c>
      <c r="D200" s="23" t="s">
        <v>32</v>
      </c>
      <c r="E200" s="29">
        <v>157</v>
      </c>
      <c r="G200" s="23"/>
      <c r="H200" s="23"/>
      <c r="I200" s="23"/>
      <c r="J200" s="29"/>
    </row>
    <row r="201" spans="2:10" x14ac:dyDescent="0.25">
      <c r="B201" s="23">
        <v>39</v>
      </c>
      <c r="C201" s="23" t="s">
        <v>35</v>
      </c>
      <c r="D201" s="23" t="s">
        <v>32</v>
      </c>
      <c r="E201" s="30">
        <v>98.843508750000012</v>
      </c>
      <c r="G201" s="23"/>
      <c r="H201" s="23"/>
      <c r="I201" s="23"/>
      <c r="J201" s="30"/>
    </row>
    <row r="202" spans="2:10" x14ac:dyDescent="0.25">
      <c r="B202" s="23">
        <v>40</v>
      </c>
      <c r="C202" s="23" t="s">
        <v>35</v>
      </c>
      <c r="D202" s="23" t="s">
        <v>32</v>
      </c>
      <c r="E202" s="32">
        <v>139.47954000000001</v>
      </c>
      <c r="G202" s="23"/>
      <c r="H202" s="23"/>
      <c r="I202" s="23"/>
      <c r="J202" s="32"/>
    </row>
    <row r="203" spans="2:10" x14ac:dyDescent="0.25">
      <c r="B203" s="23">
        <v>1</v>
      </c>
      <c r="C203" s="23" t="s">
        <v>35</v>
      </c>
      <c r="D203" s="23" t="s">
        <v>33</v>
      </c>
      <c r="E203" s="27">
        <v>139.73391899999999</v>
      </c>
      <c r="G203" s="23"/>
      <c r="H203" s="23"/>
      <c r="I203" s="23"/>
      <c r="J203" s="27"/>
    </row>
    <row r="204" spans="2:10" x14ac:dyDescent="0.25">
      <c r="B204" s="23">
        <v>2</v>
      </c>
      <c r="C204" s="23" t="s">
        <v>35</v>
      </c>
      <c r="D204" s="23" t="s">
        <v>33</v>
      </c>
      <c r="E204" s="28">
        <v>175.08625649999999</v>
      </c>
      <c r="G204" s="23"/>
      <c r="H204" s="23"/>
      <c r="I204" s="23"/>
      <c r="J204" s="28"/>
    </row>
    <row r="205" spans="2:10" x14ac:dyDescent="0.25">
      <c r="B205" s="23">
        <v>3</v>
      </c>
      <c r="C205" s="23" t="s">
        <v>35</v>
      </c>
      <c r="D205" s="23" t="s">
        <v>33</v>
      </c>
      <c r="E205" s="27">
        <v>150.87957299999999</v>
      </c>
      <c r="G205" s="23"/>
      <c r="H205" s="23"/>
      <c r="I205" s="23"/>
      <c r="J205" s="27"/>
    </row>
    <row r="206" spans="2:10" x14ac:dyDescent="0.25">
      <c r="B206" s="23">
        <v>4</v>
      </c>
      <c r="C206" s="23" t="s">
        <v>35</v>
      </c>
      <c r="D206" s="23" t="s">
        <v>33</v>
      </c>
      <c r="E206" s="28">
        <v>173.04441</v>
      </c>
      <c r="G206" s="23"/>
      <c r="H206" s="23"/>
      <c r="I206" s="23"/>
      <c r="J206" s="28"/>
    </row>
    <row r="207" spans="2:10" x14ac:dyDescent="0.25">
      <c r="B207" s="23">
        <v>5</v>
      </c>
      <c r="C207" s="23" t="s">
        <v>35</v>
      </c>
      <c r="D207" s="23" t="s">
        <v>33</v>
      </c>
      <c r="E207" s="27">
        <v>86.009219999999999</v>
      </c>
      <c r="G207" s="23"/>
      <c r="H207" s="23"/>
      <c r="I207" s="23"/>
      <c r="J207" s="27"/>
    </row>
    <row r="208" spans="2:10" x14ac:dyDescent="0.25">
      <c r="B208" s="23">
        <v>6</v>
      </c>
      <c r="C208" s="23" t="s">
        <v>35</v>
      </c>
      <c r="D208" s="23" t="s">
        <v>33</v>
      </c>
      <c r="E208" s="28">
        <v>120.54378</v>
      </c>
      <c r="G208" s="23"/>
      <c r="H208" s="23"/>
      <c r="I208" s="23"/>
      <c r="J208" s="28"/>
    </row>
    <row r="209" spans="2:10" x14ac:dyDescent="0.25">
      <c r="B209" s="23">
        <v>7</v>
      </c>
      <c r="C209" s="23" t="s">
        <v>35</v>
      </c>
      <c r="D209" s="23" t="s">
        <v>33</v>
      </c>
      <c r="E209" s="27">
        <v>110.25677</v>
      </c>
      <c r="G209" s="23"/>
      <c r="H209" s="23"/>
      <c r="I209" s="23"/>
      <c r="J209" s="27"/>
    </row>
    <row r="210" spans="2:10" x14ac:dyDescent="0.25">
      <c r="B210" s="23">
        <v>8</v>
      </c>
      <c r="C210" s="23" t="s">
        <v>35</v>
      </c>
      <c r="D210" s="23" t="s">
        <v>33</v>
      </c>
      <c r="E210" s="28">
        <v>111.94958700000001</v>
      </c>
      <c r="G210" s="23"/>
      <c r="H210" s="23"/>
      <c r="I210" s="23"/>
      <c r="J210" s="28"/>
    </row>
    <row r="211" spans="2:10" x14ac:dyDescent="0.25">
      <c r="B211" s="23">
        <v>9</v>
      </c>
      <c r="C211" s="23" t="s">
        <v>35</v>
      </c>
      <c r="D211" s="23" t="s">
        <v>33</v>
      </c>
      <c r="E211" s="27">
        <v>83.026350000000008</v>
      </c>
      <c r="G211" s="23"/>
      <c r="H211" s="23"/>
      <c r="I211" s="23"/>
      <c r="J211" s="27"/>
    </row>
    <row r="212" spans="2:10" x14ac:dyDescent="0.25">
      <c r="B212" s="23">
        <v>10</v>
      </c>
      <c r="C212" s="23" t="s">
        <v>35</v>
      </c>
      <c r="D212" s="23" t="s">
        <v>33</v>
      </c>
      <c r="E212" s="28">
        <v>100.28322</v>
      </c>
      <c r="G212" s="23"/>
      <c r="H212" s="23"/>
      <c r="I212" s="23"/>
      <c r="J212" s="28"/>
    </row>
    <row r="213" spans="2:10" x14ac:dyDescent="0.25">
      <c r="B213" s="23">
        <v>11</v>
      </c>
      <c r="C213" s="23" t="s">
        <v>35</v>
      </c>
      <c r="D213" s="23" t="s">
        <v>33</v>
      </c>
      <c r="E213" s="27">
        <v>98.877690000000001</v>
      </c>
      <c r="G213" s="23"/>
      <c r="H213" s="23"/>
      <c r="I213" s="23"/>
      <c r="J213" s="27"/>
    </row>
    <row r="214" spans="2:10" x14ac:dyDescent="0.25">
      <c r="B214" s="23">
        <v>12</v>
      </c>
      <c r="C214" s="23" t="s">
        <v>35</v>
      </c>
      <c r="D214" s="23" t="s">
        <v>33</v>
      </c>
      <c r="E214" s="28">
        <v>93.599550000000008</v>
      </c>
      <c r="G214" s="23"/>
      <c r="H214" s="23"/>
      <c r="I214" s="23"/>
      <c r="J214" s="28"/>
    </row>
    <row r="215" spans="2:10" x14ac:dyDescent="0.25">
      <c r="B215" s="23">
        <v>13</v>
      </c>
      <c r="C215" s="23" t="s">
        <v>35</v>
      </c>
      <c r="D215" s="23" t="s">
        <v>33</v>
      </c>
      <c r="E215" s="27">
        <v>61.825139999999998</v>
      </c>
      <c r="G215" s="23"/>
      <c r="H215" s="23"/>
      <c r="I215" s="23"/>
      <c r="J215" s="27"/>
    </row>
    <row r="216" spans="2:10" x14ac:dyDescent="0.25">
      <c r="B216" s="23">
        <v>14</v>
      </c>
      <c r="C216" s="23" t="s">
        <v>35</v>
      </c>
      <c r="D216" s="23" t="s">
        <v>33</v>
      </c>
      <c r="E216" s="28">
        <v>94.512991999999997</v>
      </c>
      <c r="G216" s="23"/>
      <c r="H216" s="23"/>
      <c r="I216" s="23"/>
      <c r="J216" s="28"/>
    </row>
    <row r="217" spans="2:10" x14ac:dyDescent="0.25">
      <c r="B217" s="23">
        <v>15</v>
      </c>
      <c r="C217" s="23" t="s">
        <v>35</v>
      </c>
      <c r="D217" s="23" t="s">
        <v>33</v>
      </c>
      <c r="E217" s="27">
        <v>94.451864</v>
      </c>
      <c r="G217" s="23"/>
      <c r="H217" s="23"/>
      <c r="I217" s="23"/>
      <c r="J217" s="27"/>
    </row>
    <row r="218" spans="2:10" x14ac:dyDescent="0.25">
      <c r="B218" s="23">
        <v>16</v>
      </c>
      <c r="C218" s="23" t="s">
        <v>35</v>
      </c>
      <c r="D218" s="23" t="s">
        <v>33</v>
      </c>
      <c r="E218" s="28">
        <v>97.934850000000012</v>
      </c>
      <c r="G218" s="23"/>
      <c r="H218" s="23"/>
      <c r="I218" s="23"/>
      <c r="J218" s="28"/>
    </row>
    <row r="219" spans="2:10" x14ac:dyDescent="0.25">
      <c r="B219" s="23">
        <v>17</v>
      </c>
      <c r="C219" s="23" t="s">
        <v>35</v>
      </c>
      <c r="D219" s="23" t="s">
        <v>33</v>
      </c>
      <c r="E219" s="27">
        <v>77.199210000000008</v>
      </c>
      <c r="G219" s="23"/>
      <c r="H219" s="23"/>
      <c r="I219" s="23"/>
      <c r="J219" s="27"/>
    </row>
    <row r="220" spans="2:10" x14ac:dyDescent="0.25">
      <c r="B220" s="23">
        <v>18</v>
      </c>
      <c r="C220" s="23" t="s">
        <v>35</v>
      </c>
      <c r="D220" s="23" t="s">
        <v>33</v>
      </c>
      <c r="E220" s="28">
        <v>78.092352000000005</v>
      </c>
      <c r="G220" s="23"/>
      <c r="H220" s="23"/>
      <c r="I220" s="23"/>
      <c r="J220" s="28"/>
    </row>
    <row r="221" spans="2:10" x14ac:dyDescent="0.25">
      <c r="B221" s="23">
        <v>19</v>
      </c>
      <c r="C221" s="23" t="s">
        <v>35</v>
      </c>
      <c r="D221" s="23" t="s">
        <v>33</v>
      </c>
      <c r="E221" s="27">
        <v>67.75424000000001</v>
      </c>
      <c r="G221" s="23"/>
      <c r="H221" s="23"/>
      <c r="I221" s="23"/>
      <c r="J221" s="27"/>
    </row>
    <row r="222" spans="2:10" x14ac:dyDescent="0.25">
      <c r="B222" s="23">
        <v>20</v>
      </c>
      <c r="C222" s="23" t="s">
        <v>35</v>
      </c>
      <c r="D222" s="23" t="s">
        <v>33</v>
      </c>
      <c r="E222" s="28">
        <v>89.955908499999993</v>
      </c>
      <c r="G222" s="23"/>
      <c r="H222" s="23"/>
      <c r="I222" s="23"/>
      <c r="J222" s="28"/>
    </row>
    <row r="223" spans="2:10" x14ac:dyDescent="0.25">
      <c r="B223" s="23">
        <v>21</v>
      </c>
      <c r="C223" s="23" t="s">
        <v>35</v>
      </c>
      <c r="D223" s="23" t="s">
        <v>33</v>
      </c>
      <c r="E223" s="27">
        <v>98.013397500000011</v>
      </c>
      <c r="G223" s="23"/>
      <c r="H223" s="23"/>
      <c r="I223" s="23"/>
      <c r="J223" s="27"/>
    </row>
    <row r="224" spans="2:10" x14ac:dyDescent="0.25">
      <c r="B224" s="23">
        <v>22</v>
      </c>
      <c r="C224" s="23" t="s">
        <v>35</v>
      </c>
      <c r="D224" s="23" t="s">
        <v>33</v>
      </c>
      <c r="E224" s="28">
        <v>139.61579999999998</v>
      </c>
      <c r="G224" s="23"/>
      <c r="H224" s="23"/>
      <c r="I224" s="23"/>
      <c r="J224" s="28"/>
    </row>
    <row r="225" spans="2:10" x14ac:dyDescent="0.25">
      <c r="B225" s="23">
        <v>23</v>
      </c>
      <c r="C225" s="23" t="s">
        <v>35</v>
      </c>
      <c r="D225" s="23" t="s">
        <v>33</v>
      </c>
      <c r="E225" s="27">
        <v>140.295852</v>
      </c>
      <c r="G225" s="23"/>
      <c r="H225" s="23"/>
      <c r="I225" s="23"/>
      <c r="J225" s="27"/>
    </row>
    <row r="226" spans="2:10" x14ac:dyDescent="0.25">
      <c r="B226" s="23">
        <v>24</v>
      </c>
      <c r="C226" s="23" t="s">
        <v>35</v>
      </c>
      <c r="D226" s="23" t="s">
        <v>33</v>
      </c>
      <c r="E226" s="28">
        <v>139.60201749999999</v>
      </c>
      <c r="G226" s="23"/>
      <c r="H226" s="23"/>
      <c r="I226" s="23"/>
      <c r="J226" s="28"/>
    </row>
    <row r="227" spans="2:10" x14ac:dyDescent="0.25">
      <c r="B227" s="23">
        <v>25</v>
      </c>
      <c r="C227" s="23" t="s">
        <v>35</v>
      </c>
      <c r="D227" s="23" t="s">
        <v>33</v>
      </c>
      <c r="E227" s="27">
        <v>172.70027999999999</v>
      </c>
      <c r="G227" s="23"/>
      <c r="H227" s="23"/>
      <c r="I227" s="23"/>
      <c r="J227" s="27"/>
    </row>
    <row r="228" spans="2:10" x14ac:dyDescent="0.25">
      <c r="B228" s="23">
        <v>26</v>
      </c>
      <c r="C228" s="23" t="s">
        <v>35</v>
      </c>
      <c r="D228" s="23" t="s">
        <v>33</v>
      </c>
      <c r="E228" s="28">
        <v>229.67278250000001</v>
      </c>
      <c r="G228" s="23"/>
      <c r="H228" s="23"/>
      <c r="I228" s="23"/>
      <c r="J228" s="28"/>
    </row>
    <row r="229" spans="2:10" x14ac:dyDescent="0.25">
      <c r="B229" s="23">
        <v>27</v>
      </c>
      <c r="C229" s="23" t="s">
        <v>35</v>
      </c>
      <c r="D229" s="23" t="s">
        <v>33</v>
      </c>
      <c r="E229" s="27">
        <v>286.15982000000002</v>
      </c>
      <c r="G229" s="23"/>
      <c r="H229" s="23"/>
      <c r="I229" s="23"/>
      <c r="J229" s="27"/>
    </row>
    <row r="230" spans="2:10" x14ac:dyDescent="0.25">
      <c r="B230" s="23">
        <v>28</v>
      </c>
      <c r="C230" s="23" t="s">
        <v>35</v>
      </c>
      <c r="D230" s="23" t="s">
        <v>33</v>
      </c>
      <c r="E230" s="28">
        <v>259.07791250000002</v>
      </c>
      <c r="G230" s="23"/>
      <c r="H230" s="23"/>
      <c r="I230" s="23"/>
      <c r="J230" s="28"/>
    </row>
    <row r="231" spans="2:10" x14ac:dyDescent="0.25">
      <c r="B231" s="23">
        <v>29</v>
      </c>
      <c r="C231" s="23" t="s">
        <v>35</v>
      </c>
      <c r="D231" s="23" t="s">
        <v>33</v>
      </c>
      <c r="E231" s="27">
        <v>309.37920000000003</v>
      </c>
      <c r="G231" s="23"/>
      <c r="H231" s="23"/>
      <c r="I231" s="23"/>
      <c r="J231" s="27"/>
    </row>
    <row r="232" spans="2:10" x14ac:dyDescent="0.25">
      <c r="B232" s="23">
        <v>30</v>
      </c>
      <c r="C232" s="23" t="s">
        <v>35</v>
      </c>
      <c r="D232" s="23" t="s">
        <v>33</v>
      </c>
      <c r="E232" s="28">
        <v>304.28836999999999</v>
      </c>
      <c r="G232" s="23"/>
      <c r="H232" s="23"/>
      <c r="I232" s="23"/>
      <c r="J232" s="28"/>
    </row>
    <row r="233" spans="2:10" x14ac:dyDescent="0.25">
      <c r="B233" s="23">
        <v>31</v>
      </c>
      <c r="C233" s="23" t="s">
        <v>35</v>
      </c>
      <c r="D233" s="23" t="s">
        <v>33</v>
      </c>
      <c r="E233" s="27">
        <v>314</v>
      </c>
      <c r="G233" s="23"/>
      <c r="H233" s="23"/>
      <c r="I233" s="23"/>
      <c r="J233" s="27"/>
    </row>
    <row r="234" spans="2:10" x14ac:dyDescent="0.25">
      <c r="B234" s="23">
        <v>32</v>
      </c>
      <c r="C234" s="23" t="s">
        <v>35</v>
      </c>
      <c r="D234" s="23" t="s">
        <v>33</v>
      </c>
      <c r="E234" s="28">
        <v>281</v>
      </c>
      <c r="G234" s="23"/>
      <c r="H234" s="23"/>
      <c r="I234" s="23"/>
      <c r="J234" s="28"/>
    </row>
    <row r="235" spans="2:10" x14ac:dyDescent="0.25">
      <c r="B235" s="23">
        <v>33</v>
      </c>
      <c r="C235" s="23" t="s">
        <v>35</v>
      </c>
      <c r="D235" s="23" t="s">
        <v>33</v>
      </c>
      <c r="E235" s="27">
        <v>280</v>
      </c>
      <c r="G235" s="23"/>
      <c r="H235" s="23"/>
      <c r="I235" s="23"/>
      <c r="J235" s="27"/>
    </row>
    <row r="236" spans="2:10" x14ac:dyDescent="0.25">
      <c r="B236" s="23">
        <v>34</v>
      </c>
      <c r="C236" s="23" t="s">
        <v>35</v>
      </c>
      <c r="D236" s="23" t="s">
        <v>33</v>
      </c>
      <c r="E236" s="28">
        <v>277</v>
      </c>
      <c r="G236" s="23"/>
      <c r="H236" s="23"/>
      <c r="I236" s="23"/>
      <c r="J236" s="28"/>
    </row>
    <row r="237" spans="2:10" x14ac:dyDescent="0.25">
      <c r="B237" s="23">
        <v>35</v>
      </c>
      <c r="C237" s="23" t="s">
        <v>35</v>
      </c>
      <c r="D237" s="23" t="s">
        <v>33</v>
      </c>
      <c r="E237" s="27">
        <v>285</v>
      </c>
      <c r="G237" s="23"/>
      <c r="H237" s="23"/>
      <c r="I237" s="23"/>
      <c r="J237" s="27"/>
    </row>
    <row r="238" spans="2:10" x14ac:dyDescent="0.25">
      <c r="B238" s="23">
        <v>36</v>
      </c>
      <c r="C238" s="23" t="s">
        <v>35</v>
      </c>
      <c r="D238" s="23" t="s">
        <v>33</v>
      </c>
      <c r="E238" s="28">
        <v>304</v>
      </c>
      <c r="G238" s="23"/>
      <c r="H238" s="23"/>
      <c r="I238" s="23"/>
      <c r="J238" s="28"/>
    </row>
    <row r="239" spans="2:10" x14ac:dyDescent="0.25">
      <c r="B239" s="23">
        <v>37</v>
      </c>
      <c r="C239" s="23" t="s">
        <v>35</v>
      </c>
      <c r="D239" s="23" t="s">
        <v>33</v>
      </c>
      <c r="E239" s="27">
        <v>192</v>
      </c>
      <c r="G239" s="23"/>
      <c r="H239" s="23"/>
      <c r="I239" s="23"/>
      <c r="J239" s="27"/>
    </row>
    <row r="240" spans="2:10" x14ac:dyDescent="0.25">
      <c r="B240" s="23">
        <v>38</v>
      </c>
      <c r="C240" s="23" t="s">
        <v>35</v>
      </c>
      <c r="D240" s="23" t="s">
        <v>33</v>
      </c>
      <c r="E240" s="29">
        <v>202</v>
      </c>
      <c r="G240" s="23"/>
      <c r="H240" s="23"/>
      <c r="I240" s="23"/>
      <c r="J240" s="29"/>
    </row>
    <row r="241" spans="2:10" x14ac:dyDescent="0.25">
      <c r="B241" s="23">
        <v>39</v>
      </c>
      <c r="C241" s="23" t="s">
        <v>35</v>
      </c>
      <c r="D241" s="23" t="s">
        <v>33</v>
      </c>
      <c r="E241" s="30">
        <v>109.89778800000001</v>
      </c>
      <c r="G241" s="23"/>
      <c r="H241" s="23"/>
      <c r="I241" s="23"/>
      <c r="J241" s="30"/>
    </row>
    <row r="242" spans="2:10" x14ac:dyDescent="0.25">
      <c r="B242" s="23">
        <v>40</v>
      </c>
      <c r="C242" s="23" t="s">
        <v>35</v>
      </c>
      <c r="D242" s="23" t="s">
        <v>33</v>
      </c>
      <c r="E242" s="32">
        <v>188.31384</v>
      </c>
      <c r="G242" s="23"/>
      <c r="H242" s="23"/>
      <c r="I242" s="23"/>
      <c r="J242" s="32"/>
    </row>
    <row r="243" spans="2:10" hidden="1" x14ac:dyDescent="0.25">
      <c r="B243" s="23">
        <v>1</v>
      </c>
      <c r="C243" s="23" t="s">
        <v>36</v>
      </c>
      <c r="D243" s="23" t="s">
        <v>31</v>
      </c>
      <c r="E243" s="27">
        <v>61.953300000000006</v>
      </c>
      <c r="G243" s="23"/>
      <c r="H243" s="23"/>
      <c r="I243" s="23"/>
      <c r="J243" s="27"/>
    </row>
    <row r="244" spans="2:10" hidden="1" x14ac:dyDescent="0.25">
      <c r="B244" s="23">
        <v>2</v>
      </c>
      <c r="C244" s="23" t="s">
        <v>36</v>
      </c>
      <c r="D244" s="23" t="s">
        <v>31</v>
      </c>
      <c r="E244" s="28">
        <v>72.173640000000006</v>
      </c>
      <c r="G244" s="23"/>
      <c r="H244" s="23"/>
      <c r="I244" s="23"/>
      <c r="J244" s="28"/>
    </row>
    <row r="245" spans="2:10" hidden="1" x14ac:dyDescent="0.25">
      <c r="B245" s="23">
        <v>3</v>
      </c>
      <c r="C245" s="23" t="s">
        <v>36</v>
      </c>
      <c r="D245" s="23" t="s">
        <v>31</v>
      </c>
      <c r="E245" s="27">
        <v>95.002320000000012</v>
      </c>
      <c r="G245" s="23"/>
      <c r="H245" s="23"/>
      <c r="I245" s="23"/>
      <c r="J245" s="27"/>
    </row>
    <row r="246" spans="2:10" hidden="1" x14ac:dyDescent="0.25">
      <c r="B246" s="23">
        <v>4</v>
      </c>
      <c r="C246" s="23" t="s">
        <v>36</v>
      </c>
      <c r="D246" s="23" t="s">
        <v>31</v>
      </c>
      <c r="E246" s="28">
        <v>86.590350000000001</v>
      </c>
      <c r="G246" s="23"/>
      <c r="H246" s="23"/>
      <c r="I246" s="23"/>
      <c r="J246" s="28"/>
    </row>
    <row r="247" spans="2:10" hidden="1" x14ac:dyDescent="0.25">
      <c r="B247" s="23">
        <v>5</v>
      </c>
      <c r="C247" s="23" t="s">
        <v>36</v>
      </c>
      <c r="D247" s="23" t="s">
        <v>31</v>
      </c>
      <c r="E247" s="27">
        <v>73.6965</v>
      </c>
      <c r="G247" s="23"/>
      <c r="H247" s="23"/>
      <c r="I247" s="23"/>
      <c r="J247" s="27"/>
    </row>
    <row r="248" spans="2:10" hidden="1" x14ac:dyDescent="0.25">
      <c r="B248" s="23">
        <v>6</v>
      </c>
      <c r="C248" s="23" t="s">
        <v>36</v>
      </c>
      <c r="D248" s="23" t="s">
        <v>31</v>
      </c>
      <c r="E248" s="28">
        <v>70.37660000000001</v>
      </c>
      <c r="G248" s="23"/>
      <c r="H248" s="23"/>
      <c r="I248" s="23"/>
      <c r="J248" s="28"/>
    </row>
    <row r="249" spans="2:10" hidden="1" x14ac:dyDescent="0.25">
      <c r="B249" s="23">
        <v>7</v>
      </c>
      <c r="C249" s="23" t="s">
        <v>36</v>
      </c>
      <c r="D249" s="23" t="s">
        <v>31</v>
      </c>
      <c r="E249" s="27">
        <v>113.23775999999999</v>
      </c>
      <c r="G249" s="23"/>
      <c r="H249" s="23"/>
      <c r="I249" s="23"/>
      <c r="J249" s="27"/>
    </row>
    <row r="250" spans="2:10" hidden="1" x14ac:dyDescent="0.25">
      <c r="B250" s="23">
        <v>8</v>
      </c>
      <c r="C250" s="23" t="s">
        <v>36</v>
      </c>
      <c r="D250" s="23" t="s">
        <v>31</v>
      </c>
      <c r="E250" s="28">
        <v>137.50450000000001</v>
      </c>
      <c r="G250" s="23"/>
      <c r="H250" s="23"/>
      <c r="I250" s="23"/>
      <c r="J250" s="28"/>
    </row>
    <row r="251" spans="2:10" hidden="1" x14ac:dyDescent="0.25">
      <c r="B251" s="23">
        <v>9</v>
      </c>
      <c r="C251" s="23" t="s">
        <v>36</v>
      </c>
      <c r="D251" s="23" t="s">
        <v>31</v>
      </c>
      <c r="E251" s="27">
        <v>148.53488000000002</v>
      </c>
      <c r="G251" s="23"/>
      <c r="H251" s="23"/>
      <c r="I251" s="23"/>
      <c r="J251" s="27"/>
    </row>
    <row r="252" spans="2:10" hidden="1" x14ac:dyDescent="0.25">
      <c r="B252" s="23">
        <v>10</v>
      </c>
      <c r="C252" s="23" t="s">
        <v>36</v>
      </c>
      <c r="D252" s="23" t="s">
        <v>31</v>
      </c>
      <c r="E252" s="28">
        <v>136.71314999999998</v>
      </c>
      <c r="G252" s="23"/>
      <c r="H252" s="23"/>
      <c r="I252" s="23"/>
      <c r="J252" s="28"/>
    </row>
    <row r="253" spans="2:10" hidden="1" x14ac:dyDescent="0.25">
      <c r="B253" s="23">
        <v>11</v>
      </c>
      <c r="C253" s="23" t="s">
        <v>36</v>
      </c>
      <c r="D253" s="23" t="s">
        <v>31</v>
      </c>
      <c r="E253" s="27">
        <v>127.65627000000001</v>
      </c>
      <c r="G253" s="23"/>
      <c r="H253" s="23"/>
      <c r="I253" s="23"/>
      <c r="J253" s="27"/>
    </row>
    <row r="254" spans="2:10" hidden="1" x14ac:dyDescent="0.25">
      <c r="B254" s="23">
        <v>12</v>
      </c>
      <c r="C254" s="23" t="s">
        <v>36</v>
      </c>
      <c r="D254" s="23" t="s">
        <v>31</v>
      </c>
      <c r="E254" s="28">
        <v>102.42738</v>
      </c>
      <c r="G254" s="23"/>
      <c r="H254" s="23"/>
      <c r="I254" s="23"/>
      <c r="J254" s="28"/>
    </row>
    <row r="255" spans="2:10" hidden="1" x14ac:dyDescent="0.25">
      <c r="B255" s="23">
        <v>13</v>
      </c>
      <c r="C255" s="23" t="s">
        <v>36</v>
      </c>
      <c r="D255" s="23" t="s">
        <v>31</v>
      </c>
      <c r="E255" s="27">
        <v>114.8022</v>
      </c>
      <c r="G255" s="23"/>
      <c r="H255" s="23"/>
      <c r="I255" s="23"/>
      <c r="J255" s="27"/>
    </row>
    <row r="256" spans="2:10" hidden="1" x14ac:dyDescent="0.25">
      <c r="B256" s="23">
        <v>14</v>
      </c>
      <c r="C256" s="23" t="s">
        <v>36</v>
      </c>
      <c r="D256" s="23" t="s">
        <v>31</v>
      </c>
      <c r="E256" s="28">
        <v>115.1835</v>
      </c>
      <c r="G256" s="23"/>
      <c r="H256" s="23"/>
      <c r="I256" s="23"/>
      <c r="J256" s="28"/>
    </row>
    <row r="257" spans="2:10" hidden="1" x14ac:dyDescent="0.25">
      <c r="B257" s="23">
        <v>15</v>
      </c>
      <c r="C257" s="23" t="s">
        <v>36</v>
      </c>
      <c r="D257" s="23" t="s">
        <v>31</v>
      </c>
      <c r="E257" s="27">
        <v>80.490750000000006</v>
      </c>
      <c r="G257" s="23"/>
      <c r="H257" s="23"/>
      <c r="I257" s="23"/>
      <c r="J257" s="27"/>
    </row>
    <row r="258" spans="2:10" hidden="1" x14ac:dyDescent="0.25">
      <c r="B258" s="23">
        <v>16</v>
      </c>
      <c r="C258" s="23" t="s">
        <v>36</v>
      </c>
      <c r="D258" s="23" t="s">
        <v>31</v>
      </c>
      <c r="E258" s="28">
        <v>81.519750000000002</v>
      </c>
      <c r="G258" s="23"/>
      <c r="H258" s="23"/>
      <c r="I258" s="23"/>
      <c r="J258" s="28"/>
    </row>
    <row r="259" spans="2:10" hidden="1" x14ac:dyDescent="0.25">
      <c r="B259" s="23">
        <v>17</v>
      </c>
      <c r="C259" s="23" t="s">
        <v>36</v>
      </c>
      <c r="D259" s="23" t="s">
        <v>31</v>
      </c>
      <c r="E259" s="27">
        <v>87.27</v>
      </c>
      <c r="G259" s="23"/>
      <c r="H259" s="23"/>
      <c r="I259" s="23"/>
      <c r="J259" s="27"/>
    </row>
    <row r="260" spans="2:10" hidden="1" x14ac:dyDescent="0.25">
      <c r="B260" s="23">
        <v>18</v>
      </c>
      <c r="C260" s="23" t="s">
        <v>36</v>
      </c>
      <c r="D260" s="23" t="s">
        <v>31</v>
      </c>
      <c r="E260" s="28">
        <v>103.55839999999999</v>
      </c>
      <c r="G260" s="23"/>
      <c r="H260" s="23"/>
      <c r="I260" s="23"/>
      <c r="J260" s="28"/>
    </row>
    <row r="261" spans="2:10" hidden="1" x14ac:dyDescent="0.25">
      <c r="B261" s="23">
        <v>19</v>
      </c>
      <c r="C261" s="23" t="s">
        <v>36</v>
      </c>
      <c r="D261" s="23" t="s">
        <v>31</v>
      </c>
      <c r="E261" s="27">
        <v>93.054600000000008</v>
      </c>
      <c r="G261" s="23"/>
      <c r="H261" s="23"/>
      <c r="I261" s="23"/>
      <c r="J261" s="27"/>
    </row>
    <row r="262" spans="2:10" hidden="1" x14ac:dyDescent="0.25">
      <c r="B262" s="23">
        <v>20</v>
      </c>
      <c r="C262" s="23" t="s">
        <v>36</v>
      </c>
      <c r="D262" s="23" t="s">
        <v>31</v>
      </c>
      <c r="E262" s="28">
        <v>117.90180000000001</v>
      </c>
      <c r="G262" s="23"/>
      <c r="H262" s="23"/>
      <c r="I262" s="23"/>
      <c r="J262" s="28"/>
    </row>
    <row r="263" spans="2:10" hidden="1" x14ac:dyDescent="0.25">
      <c r="B263" s="23">
        <v>21</v>
      </c>
      <c r="C263" s="23" t="s">
        <v>36</v>
      </c>
      <c r="D263" s="23" t="s">
        <v>31</v>
      </c>
      <c r="E263" s="27">
        <v>118.12</v>
      </c>
      <c r="G263" s="23"/>
      <c r="H263" s="23"/>
      <c r="I263" s="23"/>
      <c r="J263" s="27"/>
    </row>
    <row r="264" spans="2:10" hidden="1" x14ac:dyDescent="0.25">
      <c r="B264" s="23">
        <v>22</v>
      </c>
      <c r="C264" s="23" t="s">
        <v>36</v>
      </c>
      <c r="D264" s="23" t="s">
        <v>31</v>
      </c>
      <c r="E264" s="28">
        <v>97.564499999999995</v>
      </c>
      <c r="G264" s="23"/>
      <c r="H264" s="23"/>
      <c r="I264" s="23"/>
      <c r="J264" s="28"/>
    </row>
    <row r="265" spans="2:10" hidden="1" x14ac:dyDescent="0.25">
      <c r="B265" s="23">
        <v>23</v>
      </c>
      <c r="C265" s="23" t="s">
        <v>36</v>
      </c>
      <c r="D265" s="23" t="s">
        <v>31</v>
      </c>
      <c r="E265" s="27">
        <v>84.188999999999993</v>
      </c>
      <c r="G265" s="23"/>
      <c r="H265" s="23"/>
      <c r="I265" s="23"/>
      <c r="J265" s="27"/>
    </row>
    <row r="266" spans="2:10" hidden="1" x14ac:dyDescent="0.25">
      <c r="B266" s="23">
        <v>24</v>
      </c>
      <c r="C266" s="23" t="s">
        <v>36</v>
      </c>
      <c r="D266" s="23" t="s">
        <v>31</v>
      </c>
      <c r="E266" s="28">
        <v>100.21375</v>
      </c>
      <c r="G266" s="23"/>
      <c r="H266" s="23"/>
      <c r="I266" s="23"/>
      <c r="J266" s="28"/>
    </row>
    <row r="267" spans="2:10" hidden="1" x14ac:dyDescent="0.25">
      <c r="B267" s="23">
        <v>25</v>
      </c>
      <c r="C267" s="23" t="s">
        <v>36</v>
      </c>
      <c r="D267" s="23" t="s">
        <v>31</v>
      </c>
      <c r="E267" s="27">
        <v>154.24737500000001</v>
      </c>
      <c r="G267" s="23"/>
      <c r="H267" s="23"/>
      <c r="I267" s="23"/>
      <c r="J267" s="27"/>
    </row>
    <row r="268" spans="2:10" hidden="1" x14ac:dyDescent="0.25">
      <c r="B268" s="23">
        <v>26</v>
      </c>
      <c r="C268" s="23" t="s">
        <v>36</v>
      </c>
      <c r="D268" s="23" t="s">
        <v>31</v>
      </c>
      <c r="E268" s="28">
        <v>115.569</v>
      </c>
      <c r="G268" s="23"/>
      <c r="H268" s="23"/>
      <c r="I268" s="23"/>
      <c r="J268" s="28"/>
    </row>
    <row r="269" spans="2:10" hidden="1" x14ac:dyDescent="0.25">
      <c r="B269" s="23">
        <v>27</v>
      </c>
      <c r="C269" s="23" t="s">
        <v>36</v>
      </c>
      <c r="D269" s="23" t="s">
        <v>31</v>
      </c>
      <c r="E269" s="27">
        <v>175.01249999999999</v>
      </c>
      <c r="G269" s="23"/>
      <c r="H269" s="23"/>
      <c r="I269" s="23"/>
      <c r="J269" s="27"/>
    </row>
    <row r="270" spans="2:10" hidden="1" x14ac:dyDescent="0.25">
      <c r="B270" s="23">
        <v>28</v>
      </c>
      <c r="C270" s="23" t="s">
        <v>36</v>
      </c>
      <c r="D270" s="23" t="s">
        <v>31</v>
      </c>
      <c r="E270" s="28">
        <v>140.808875</v>
      </c>
      <c r="G270" s="23"/>
      <c r="H270" s="23"/>
      <c r="I270" s="23"/>
      <c r="J270" s="28"/>
    </row>
    <row r="271" spans="2:10" hidden="1" x14ac:dyDescent="0.25">
      <c r="B271" s="23">
        <v>29</v>
      </c>
      <c r="C271" s="23" t="s">
        <v>36</v>
      </c>
      <c r="D271" s="23" t="s">
        <v>31</v>
      </c>
      <c r="E271" s="27">
        <v>139.34970000000001</v>
      </c>
      <c r="G271" s="23"/>
      <c r="H271" s="23"/>
      <c r="I271" s="23"/>
      <c r="J271" s="27"/>
    </row>
    <row r="272" spans="2:10" hidden="1" x14ac:dyDescent="0.25">
      <c r="B272" s="23">
        <v>30</v>
      </c>
      <c r="C272" s="23" t="s">
        <v>36</v>
      </c>
      <c r="D272" s="23" t="s">
        <v>31</v>
      </c>
      <c r="E272" s="28">
        <v>160.41455999999999</v>
      </c>
      <c r="G272" s="23"/>
      <c r="H272" s="23"/>
      <c r="I272" s="23"/>
      <c r="J272" s="28"/>
    </row>
    <row r="273" spans="2:10" hidden="1" x14ac:dyDescent="0.25">
      <c r="B273" s="23">
        <v>31</v>
      </c>
      <c r="C273" s="23" t="s">
        <v>36</v>
      </c>
      <c r="D273" s="23" t="s">
        <v>31</v>
      </c>
      <c r="E273" s="27">
        <v>148</v>
      </c>
      <c r="G273" s="23"/>
      <c r="H273" s="23"/>
      <c r="I273" s="23"/>
      <c r="J273" s="27"/>
    </row>
    <row r="274" spans="2:10" hidden="1" x14ac:dyDescent="0.25">
      <c r="B274" s="23">
        <v>32</v>
      </c>
      <c r="C274" s="23" t="s">
        <v>36</v>
      </c>
      <c r="D274" s="23" t="s">
        <v>31</v>
      </c>
      <c r="E274" s="28">
        <v>155</v>
      </c>
      <c r="G274" s="23"/>
      <c r="H274" s="23"/>
      <c r="I274" s="23"/>
      <c r="J274" s="28"/>
    </row>
    <row r="275" spans="2:10" hidden="1" x14ac:dyDescent="0.25">
      <c r="B275" s="23">
        <v>33</v>
      </c>
      <c r="C275" s="23" t="s">
        <v>36</v>
      </c>
      <c r="D275" s="23" t="s">
        <v>31</v>
      </c>
      <c r="E275" s="27">
        <v>154</v>
      </c>
      <c r="G275" s="23"/>
      <c r="H275" s="23"/>
      <c r="I275" s="23"/>
      <c r="J275" s="27"/>
    </row>
    <row r="276" spans="2:10" hidden="1" x14ac:dyDescent="0.25">
      <c r="B276" s="23">
        <v>34</v>
      </c>
      <c r="C276" s="23" t="s">
        <v>36</v>
      </c>
      <c r="D276" s="23" t="s">
        <v>31</v>
      </c>
      <c r="E276" s="28">
        <v>156</v>
      </c>
      <c r="G276" s="23"/>
      <c r="H276" s="23"/>
      <c r="I276" s="23"/>
      <c r="J276" s="28"/>
    </row>
    <row r="277" spans="2:10" hidden="1" x14ac:dyDescent="0.25">
      <c r="B277" s="23">
        <v>35</v>
      </c>
      <c r="C277" s="23" t="s">
        <v>36</v>
      </c>
      <c r="D277" s="23" t="s">
        <v>31</v>
      </c>
      <c r="E277" s="27">
        <v>151</v>
      </c>
      <c r="G277" s="23"/>
      <c r="H277" s="23"/>
      <c r="I277" s="23"/>
      <c r="J277" s="27"/>
    </row>
    <row r="278" spans="2:10" hidden="1" x14ac:dyDescent="0.25">
      <c r="B278" s="23">
        <v>36</v>
      </c>
      <c r="C278" s="23" t="s">
        <v>36</v>
      </c>
      <c r="D278" s="23" t="s">
        <v>31</v>
      </c>
      <c r="E278" s="28">
        <v>109</v>
      </c>
      <c r="G278" s="23"/>
      <c r="H278" s="23"/>
      <c r="I278" s="23"/>
      <c r="J278" s="28"/>
    </row>
    <row r="279" spans="2:10" hidden="1" x14ac:dyDescent="0.25">
      <c r="B279" s="23">
        <v>37</v>
      </c>
      <c r="C279" s="23" t="s">
        <v>36</v>
      </c>
      <c r="D279" s="23" t="s">
        <v>31</v>
      </c>
      <c r="E279" s="27">
        <v>121</v>
      </c>
      <c r="G279" s="23"/>
      <c r="H279" s="23"/>
      <c r="I279" s="23"/>
      <c r="J279" s="27"/>
    </row>
    <row r="280" spans="2:10" hidden="1" x14ac:dyDescent="0.25">
      <c r="B280" s="23">
        <v>38</v>
      </c>
      <c r="C280" s="23" t="s">
        <v>36</v>
      </c>
      <c r="D280" s="23" t="s">
        <v>31</v>
      </c>
      <c r="E280" s="29">
        <v>120</v>
      </c>
      <c r="G280" s="23"/>
      <c r="H280" s="23"/>
      <c r="I280" s="23"/>
      <c r="J280" s="29"/>
    </row>
    <row r="281" spans="2:10" hidden="1" x14ac:dyDescent="0.25">
      <c r="B281" s="23">
        <v>39</v>
      </c>
      <c r="C281" s="23" t="s">
        <v>36</v>
      </c>
      <c r="D281" s="23" t="s">
        <v>31</v>
      </c>
      <c r="E281" s="30">
        <v>101.49179040000001</v>
      </c>
      <c r="G281" s="23"/>
      <c r="H281" s="23"/>
      <c r="I281" s="23"/>
      <c r="J281" s="30"/>
    </row>
    <row r="282" spans="2:10" hidden="1" x14ac:dyDescent="0.25">
      <c r="B282" s="23">
        <v>40</v>
      </c>
      <c r="C282" s="23" t="s">
        <v>36</v>
      </c>
      <c r="D282" s="23" t="s">
        <v>31</v>
      </c>
      <c r="E282" s="32">
        <v>111.46176</v>
      </c>
      <c r="G282" s="23"/>
      <c r="H282" s="23"/>
      <c r="I282" s="23"/>
      <c r="J282" s="32"/>
    </row>
    <row r="283" spans="2:10" x14ac:dyDescent="0.25">
      <c r="B283" s="23">
        <v>1</v>
      </c>
      <c r="C283" s="23" t="s">
        <v>36</v>
      </c>
      <c r="D283" s="23" t="s">
        <v>32</v>
      </c>
      <c r="E283" s="27">
        <v>228.90114000000003</v>
      </c>
      <c r="G283" s="23"/>
      <c r="H283" s="23"/>
      <c r="I283" s="23"/>
      <c r="J283" s="27"/>
    </row>
    <row r="284" spans="2:10" x14ac:dyDescent="0.25">
      <c r="B284" s="23">
        <v>2</v>
      </c>
      <c r="C284" s="23" t="s">
        <v>36</v>
      </c>
      <c r="D284" s="23" t="s">
        <v>32</v>
      </c>
      <c r="E284" s="28">
        <v>285.41394000000003</v>
      </c>
      <c r="G284" s="23"/>
      <c r="H284" s="23"/>
      <c r="I284" s="23"/>
      <c r="J284" s="28"/>
    </row>
    <row r="285" spans="2:10" x14ac:dyDescent="0.25">
      <c r="B285" s="23">
        <v>3</v>
      </c>
      <c r="C285" s="23" t="s">
        <v>36</v>
      </c>
      <c r="D285" s="23" t="s">
        <v>32</v>
      </c>
      <c r="E285" s="27">
        <v>380.00928000000005</v>
      </c>
      <c r="G285" s="23"/>
      <c r="H285" s="23"/>
      <c r="I285" s="23"/>
      <c r="J285" s="27"/>
    </row>
    <row r="286" spans="2:10" x14ac:dyDescent="0.25">
      <c r="B286" s="23">
        <v>4</v>
      </c>
      <c r="C286" s="23" t="s">
        <v>36</v>
      </c>
      <c r="D286" s="23" t="s">
        <v>32</v>
      </c>
      <c r="E286" s="28">
        <v>301.22946000000002</v>
      </c>
      <c r="G286" s="23"/>
      <c r="H286" s="23"/>
      <c r="I286" s="23"/>
      <c r="J286" s="28"/>
    </row>
    <row r="287" spans="2:10" x14ac:dyDescent="0.25">
      <c r="B287" s="23">
        <v>5</v>
      </c>
      <c r="C287" s="23" t="s">
        <v>36</v>
      </c>
      <c r="D287" s="23" t="s">
        <v>32</v>
      </c>
      <c r="E287" s="27">
        <v>272.95</v>
      </c>
      <c r="G287" s="23"/>
      <c r="H287" s="23"/>
      <c r="I287" s="23"/>
      <c r="J287" s="27"/>
    </row>
    <row r="288" spans="2:10" x14ac:dyDescent="0.25">
      <c r="B288" s="23">
        <v>6</v>
      </c>
      <c r="C288" s="23" t="s">
        <v>36</v>
      </c>
      <c r="D288" s="23" t="s">
        <v>32</v>
      </c>
      <c r="E288" s="28">
        <v>295.58171999999996</v>
      </c>
      <c r="G288" s="23"/>
      <c r="H288" s="23"/>
      <c r="I288" s="23"/>
      <c r="J288" s="28"/>
    </row>
    <row r="289" spans="2:10" x14ac:dyDescent="0.25">
      <c r="B289" s="23">
        <v>7</v>
      </c>
      <c r="C289" s="23" t="s">
        <v>36</v>
      </c>
      <c r="D289" s="23" t="s">
        <v>32</v>
      </c>
      <c r="E289" s="27">
        <v>437.91165000000001</v>
      </c>
      <c r="G289" s="23"/>
      <c r="H289" s="23"/>
      <c r="I289" s="23"/>
      <c r="J289" s="27"/>
    </row>
    <row r="290" spans="2:10" x14ac:dyDescent="0.25">
      <c r="B290" s="23">
        <v>8</v>
      </c>
      <c r="C290" s="23" t="s">
        <v>36</v>
      </c>
      <c r="D290" s="23" t="s">
        <v>32</v>
      </c>
      <c r="E290" s="28">
        <v>509.57549999999998</v>
      </c>
      <c r="G290" s="23"/>
      <c r="H290" s="23"/>
      <c r="I290" s="23"/>
      <c r="J290" s="28"/>
    </row>
    <row r="291" spans="2:10" x14ac:dyDescent="0.25">
      <c r="B291" s="23">
        <v>9</v>
      </c>
      <c r="C291" s="23" t="s">
        <v>36</v>
      </c>
      <c r="D291" s="23" t="s">
        <v>32</v>
      </c>
      <c r="E291" s="27">
        <v>624.13214000000005</v>
      </c>
      <c r="G291" s="23"/>
      <c r="H291" s="23"/>
      <c r="I291" s="23"/>
      <c r="J291" s="27"/>
    </row>
    <row r="292" spans="2:10" x14ac:dyDescent="0.25">
      <c r="B292" s="23">
        <v>10</v>
      </c>
      <c r="C292" s="23" t="s">
        <v>36</v>
      </c>
      <c r="D292" s="23" t="s">
        <v>32</v>
      </c>
      <c r="E292" s="28">
        <v>562.93650000000002</v>
      </c>
      <c r="G292" s="23"/>
      <c r="H292" s="23"/>
      <c r="I292" s="23"/>
      <c r="J292" s="28"/>
    </row>
    <row r="293" spans="2:10" x14ac:dyDescent="0.25">
      <c r="B293" s="23">
        <v>11</v>
      </c>
      <c r="C293" s="23" t="s">
        <v>36</v>
      </c>
      <c r="D293" s="23" t="s">
        <v>32</v>
      </c>
      <c r="E293" s="27">
        <v>512.65137000000004</v>
      </c>
      <c r="G293" s="23"/>
      <c r="H293" s="23"/>
      <c r="I293" s="23"/>
      <c r="J293" s="27"/>
    </row>
    <row r="294" spans="2:10" x14ac:dyDescent="0.25">
      <c r="B294" s="23">
        <v>12</v>
      </c>
      <c r="C294" s="23" t="s">
        <v>36</v>
      </c>
      <c r="D294" s="23" t="s">
        <v>32</v>
      </c>
      <c r="E294" s="28">
        <v>411.48162000000002</v>
      </c>
      <c r="G294" s="23"/>
      <c r="H294" s="23"/>
      <c r="I294" s="23"/>
      <c r="J294" s="28"/>
    </row>
    <row r="295" spans="2:10" x14ac:dyDescent="0.25">
      <c r="B295" s="23">
        <v>13</v>
      </c>
      <c r="C295" s="23" t="s">
        <v>36</v>
      </c>
      <c r="D295" s="23" t="s">
        <v>32</v>
      </c>
      <c r="E295" s="27">
        <v>430.50824999999998</v>
      </c>
      <c r="G295" s="23"/>
      <c r="H295" s="23"/>
      <c r="I295" s="23"/>
      <c r="J295" s="27"/>
    </row>
    <row r="296" spans="2:10" x14ac:dyDescent="0.25">
      <c r="B296" s="23">
        <v>14</v>
      </c>
      <c r="C296" s="23" t="s">
        <v>36</v>
      </c>
      <c r="D296" s="23" t="s">
        <v>32</v>
      </c>
      <c r="E296" s="28">
        <v>467.5095</v>
      </c>
      <c r="G296" s="23"/>
      <c r="H296" s="23"/>
      <c r="I296" s="23"/>
      <c r="J296" s="28"/>
    </row>
    <row r="297" spans="2:10" x14ac:dyDescent="0.25">
      <c r="B297" s="23">
        <v>15</v>
      </c>
      <c r="C297" s="23" t="s">
        <v>36</v>
      </c>
      <c r="D297" s="23" t="s">
        <v>32</v>
      </c>
      <c r="E297" s="27">
        <v>380.04259999999999</v>
      </c>
      <c r="G297" s="23"/>
      <c r="H297" s="23"/>
      <c r="I297" s="23"/>
      <c r="J297" s="27"/>
    </row>
    <row r="298" spans="2:10" x14ac:dyDescent="0.25">
      <c r="B298" s="23">
        <v>16</v>
      </c>
      <c r="C298" s="23" t="s">
        <v>36</v>
      </c>
      <c r="D298" s="23" t="s">
        <v>32</v>
      </c>
      <c r="E298" s="28">
        <v>376.50047499999999</v>
      </c>
      <c r="G298" s="23"/>
      <c r="H298" s="23"/>
      <c r="I298" s="23"/>
      <c r="J298" s="28"/>
    </row>
    <row r="299" spans="2:10" x14ac:dyDescent="0.25">
      <c r="B299" s="23">
        <v>17</v>
      </c>
      <c r="C299" s="23" t="s">
        <v>36</v>
      </c>
      <c r="D299" s="23" t="s">
        <v>32</v>
      </c>
      <c r="E299" s="27">
        <v>341.8075</v>
      </c>
      <c r="G299" s="23"/>
      <c r="H299" s="23"/>
      <c r="I299" s="23"/>
      <c r="J299" s="27"/>
    </row>
    <row r="300" spans="2:10" x14ac:dyDescent="0.25">
      <c r="B300" s="23">
        <v>18</v>
      </c>
      <c r="C300" s="23" t="s">
        <v>36</v>
      </c>
      <c r="D300" s="23" t="s">
        <v>32</v>
      </c>
      <c r="E300" s="28">
        <v>367.16159999999996</v>
      </c>
      <c r="G300" s="23"/>
      <c r="H300" s="23"/>
      <c r="I300" s="23"/>
      <c r="J300" s="28"/>
    </row>
    <row r="301" spans="2:10" x14ac:dyDescent="0.25">
      <c r="B301" s="23">
        <v>19</v>
      </c>
      <c r="C301" s="23" t="s">
        <v>36</v>
      </c>
      <c r="D301" s="23" t="s">
        <v>32</v>
      </c>
      <c r="E301" s="27">
        <v>391.68079999999998</v>
      </c>
      <c r="G301" s="23"/>
      <c r="H301" s="23"/>
      <c r="I301" s="23"/>
      <c r="J301" s="27"/>
    </row>
    <row r="302" spans="2:10" x14ac:dyDescent="0.25">
      <c r="B302" s="23">
        <v>20</v>
      </c>
      <c r="C302" s="23" t="s">
        <v>36</v>
      </c>
      <c r="D302" s="23" t="s">
        <v>32</v>
      </c>
      <c r="E302" s="28">
        <v>325.96379999999999</v>
      </c>
      <c r="G302" s="23"/>
      <c r="H302" s="23"/>
      <c r="I302" s="23"/>
      <c r="J302" s="28"/>
    </row>
    <row r="303" spans="2:10" x14ac:dyDescent="0.25">
      <c r="B303" s="23">
        <v>21</v>
      </c>
      <c r="C303" s="23" t="s">
        <v>36</v>
      </c>
      <c r="D303" s="23" t="s">
        <v>32</v>
      </c>
      <c r="E303" s="27">
        <v>311.83679999999998</v>
      </c>
      <c r="G303" s="23"/>
      <c r="H303" s="23"/>
      <c r="I303" s="23"/>
      <c r="J303" s="27"/>
    </row>
    <row r="304" spans="2:10" x14ac:dyDescent="0.25">
      <c r="B304" s="23">
        <v>22</v>
      </c>
      <c r="C304" s="23" t="s">
        <v>36</v>
      </c>
      <c r="D304" s="23" t="s">
        <v>32</v>
      </c>
      <c r="E304" s="28">
        <v>319.59765000000004</v>
      </c>
      <c r="G304" s="23"/>
      <c r="H304" s="23"/>
      <c r="I304" s="23"/>
      <c r="J304" s="28"/>
    </row>
    <row r="305" spans="2:10" x14ac:dyDescent="0.25">
      <c r="B305" s="23">
        <v>23</v>
      </c>
      <c r="C305" s="23" t="s">
        <v>36</v>
      </c>
      <c r="D305" s="23" t="s">
        <v>32</v>
      </c>
      <c r="E305" s="27">
        <v>304.28309999999999</v>
      </c>
      <c r="G305" s="23"/>
      <c r="H305" s="23"/>
      <c r="I305" s="23"/>
      <c r="J305" s="27"/>
    </row>
    <row r="306" spans="2:10" x14ac:dyDescent="0.25">
      <c r="B306" s="23">
        <v>24</v>
      </c>
      <c r="C306" s="23" t="s">
        <v>36</v>
      </c>
      <c r="D306" s="23" t="s">
        <v>32</v>
      </c>
      <c r="E306" s="28">
        <v>289.84899999999999</v>
      </c>
      <c r="G306" s="23"/>
      <c r="H306" s="23"/>
      <c r="I306" s="23"/>
      <c r="J306" s="28"/>
    </row>
    <row r="307" spans="2:10" x14ac:dyDescent="0.25">
      <c r="B307" s="23">
        <v>25</v>
      </c>
      <c r="C307" s="23" t="s">
        <v>36</v>
      </c>
      <c r="D307" s="23" t="s">
        <v>32</v>
      </c>
      <c r="E307" s="27">
        <v>371.69549999999998</v>
      </c>
      <c r="G307" s="23"/>
      <c r="H307" s="23"/>
      <c r="I307" s="23"/>
      <c r="J307" s="27"/>
    </row>
    <row r="308" spans="2:10" x14ac:dyDescent="0.25">
      <c r="B308" s="23">
        <v>26</v>
      </c>
      <c r="C308" s="23" t="s">
        <v>36</v>
      </c>
      <c r="D308" s="23" t="s">
        <v>32</v>
      </c>
      <c r="E308" s="28">
        <v>393.25562500000001</v>
      </c>
      <c r="G308" s="23"/>
      <c r="H308" s="23"/>
      <c r="I308" s="23"/>
      <c r="J308" s="28"/>
    </row>
    <row r="309" spans="2:10" x14ac:dyDescent="0.25">
      <c r="B309" s="23">
        <v>27</v>
      </c>
      <c r="C309" s="23" t="s">
        <v>36</v>
      </c>
      <c r="D309" s="23" t="s">
        <v>32</v>
      </c>
      <c r="E309" s="27">
        <v>490.03500000000003</v>
      </c>
      <c r="G309" s="23"/>
      <c r="H309" s="23"/>
      <c r="I309" s="23"/>
      <c r="J309" s="27"/>
    </row>
    <row r="310" spans="2:10" x14ac:dyDescent="0.25">
      <c r="B310" s="23">
        <v>28</v>
      </c>
      <c r="C310" s="23" t="s">
        <v>36</v>
      </c>
      <c r="D310" s="23" t="s">
        <v>32</v>
      </c>
      <c r="E310" s="28">
        <v>414.86399999999998</v>
      </c>
      <c r="G310" s="23"/>
      <c r="H310" s="23"/>
      <c r="I310" s="23"/>
      <c r="J310" s="28"/>
    </row>
    <row r="311" spans="2:10" x14ac:dyDescent="0.25">
      <c r="B311" s="23">
        <v>29</v>
      </c>
      <c r="C311" s="23" t="s">
        <v>36</v>
      </c>
      <c r="D311" s="23" t="s">
        <v>32</v>
      </c>
      <c r="E311" s="27">
        <v>440.90540000000004</v>
      </c>
      <c r="G311" s="23"/>
      <c r="H311" s="23"/>
      <c r="I311" s="23"/>
      <c r="J311" s="27"/>
    </row>
    <row r="312" spans="2:10" x14ac:dyDescent="0.25">
      <c r="B312" s="23">
        <v>30</v>
      </c>
      <c r="C312" s="23" t="s">
        <v>36</v>
      </c>
      <c r="D312" s="23" t="s">
        <v>32</v>
      </c>
      <c r="E312" s="28">
        <v>427.77215999999999</v>
      </c>
      <c r="G312" s="23"/>
      <c r="H312" s="23"/>
      <c r="I312" s="23"/>
      <c r="J312" s="28"/>
    </row>
    <row r="313" spans="2:10" x14ac:dyDescent="0.25">
      <c r="B313" s="23">
        <v>31</v>
      </c>
      <c r="C313" s="23" t="s">
        <v>36</v>
      </c>
      <c r="D313" s="23" t="s">
        <v>32</v>
      </c>
      <c r="E313" s="27">
        <v>448</v>
      </c>
      <c r="G313" s="23"/>
      <c r="H313" s="23"/>
      <c r="I313" s="23"/>
      <c r="J313" s="27"/>
    </row>
    <row r="314" spans="2:10" x14ac:dyDescent="0.25">
      <c r="B314" s="23">
        <v>32</v>
      </c>
      <c r="C314" s="23" t="s">
        <v>36</v>
      </c>
      <c r="D314" s="23" t="s">
        <v>32</v>
      </c>
      <c r="E314" s="28">
        <v>470</v>
      </c>
      <c r="G314" s="23"/>
      <c r="H314" s="23"/>
      <c r="I314" s="23"/>
      <c r="J314" s="28"/>
    </row>
    <row r="315" spans="2:10" x14ac:dyDescent="0.25">
      <c r="B315" s="23">
        <v>33</v>
      </c>
      <c r="C315" s="23" t="s">
        <v>36</v>
      </c>
      <c r="D315" s="23" t="s">
        <v>32</v>
      </c>
      <c r="E315" s="27">
        <v>448</v>
      </c>
      <c r="G315" s="23"/>
      <c r="H315" s="23"/>
      <c r="I315" s="23"/>
      <c r="J315" s="27"/>
    </row>
    <row r="316" spans="2:10" x14ac:dyDescent="0.25">
      <c r="B316" s="23">
        <v>34</v>
      </c>
      <c r="C316" s="23" t="s">
        <v>36</v>
      </c>
      <c r="D316" s="23" t="s">
        <v>32</v>
      </c>
      <c r="E316" s="28">
        <v>464</v>
      </c>
      <c r="G316" s="23"/>
      <c r="H316" s="23"/>
      <c r="I316" s="23"/>
      <c r="J316" s="28"/>
    </row>
    <row r="317" spans="2:10" x14ac:dyDescent="0.25">
      <c r="B317" s="23">
        <v>35</v>
      </c>
      <c r="C317" s="23" t="s">
        <v>36</v>
      </c>
      <c r="D317" s="23" t="s">
        <v>32</v>
      </c>
      <c r="E317" s="27">
        <v>448</v>
      </c>
      <c r="G317" s="23"/>
      <c r="H317" s="23"/>
      <c r="I317" s="23"/>
      <c r="J317" s="27"/>
    </row>
    <row r="318" spans="2:10" x14ac:dyDescent="0.25">
      <c r="B318" s="23">
        <v>36</v>
      </c>
      <c r="C318" s="23" t="s">
        <v>36</v>
      </c>
      <c r="D318" s="23" t="s">
        <v>32</v>
      </c>
      <c r="E318" s="28">
        <v>400</v>
      </c>
      <c r="G318" s="23"/>
      <c r="H318" s="23"/>
      <c r="I318" s="23"/>
      <c r="J318" s="28"/>
    </row>
    <row r="319" spans="2:10" x14ac:dyDescent="0.25">
      <c r="B319" s="23">
        <v>37</v>
      </c>
      <c r="C319" s="23" t="s">
        <v>36</v>
      </c>
      <c r="D319" s="23" t="s">
        <v>32</v>
      </c>
      <c r="E319" s="27">
        <v>367</v>
      </c>
      <c r="G319" s="23"/>
      <c r="H319" s="23"/>
      <c r="I319" s="23"/>
      <c r="J319" s="27"/>
    </row>
    <row r="320" spans="2:10" x14ac:dyDescent="0.25">
      <c r="B320" s="23">
        <v>38</v>
      </c>
      <c r="C320" s="23" t="s">
        <v>36</v>
      </c>
      <c r="D320" s="23" t="s">
        <v>32</v>
      </c>
      <c r="E320" s="29">
        <v>436</v>
      </c>
      <c r="G320" s="23"/>
      <c r="H320" s="23"/>
      <c r="I320" s="23"/>
      <c r="J320" s="29"/>
    </row>
    <row r="321" spans="2:10" x14ac:dyDescent="0.25">
      <c r="B321" s="23">
        <v>39</v>
      </c>
      <c r="C321" s="23" t="s">
        <v>36</v>
      </c>
      <c r="D321" s="23" t="s">
        <v>32</v>
      </c>
      <c r="E321" s="30">
        <v>307.28684249999998</v>
      </c>
      <c r="G321" s="23"/>
      <c r="H321" s="23"/>
      <c r="I321" s="23"/>
      <c r="J321" s="30"/>
    </row>
    <row r="322" spans="2:10" x14ac:dyDescent="0.25">
      <c r="B322" s="23">
        <v>40</v>
      </c>
      <c r="C322" s="23" t="s">
        <v>36</v>
      </c>
      <c r="D322" s="23" t="s">
        <v>32</v>
      </c>
      <c r="E322" s="32">
        <v>551.89052000000004</v>
      </c>
      <c r="G322" s="23"/>
      <c r="H322" s="23"/>
      <c r="I322" s="23"/>
      <c r="J322" s="32"/>
    </row>
    <row r="323" spans="2:10" x14ac:dyDescent="0.25">
      <c r="B323" s="23">
        <v>1</v>
      </c>
      <c r="C323" s="23" t="s">
        <v>36</v>
      </c>
      <c r="D323" s="23" t="s">
        <v>33</v>
      </c>
      <c r="E323" s="27">
        <v>281.72447999999997</v>
      </c>
      <c r="G323" s="23"/>
      <c r="H323" s="23"/>
      <c r="I323" s="23"/>
      <c r="J323" s="27"/>
    </row>
    <row r="324" spans="2:10" x14ac:dyDescent="0.25">
      <c r="B324" s="23">
        <v>2</v>
      </c>
      <c r="C324" s="23" t="s">
        <v>36</v>
      </c>
      <c r="D324" s="23" t="s">
        <v>33</v>
      </c>
      <c r="E324" s="28">
        <v>370.47573</v>
      </c>
      <c r="G324" s="23"/>
      <c r="H324" s="23"/>
      <c r="I324" s="23"/>
      <c r="J324" s="28"/>
    </row>
    <row r="325" spans="2:10" x14ac:dyDescent="0.25">
      <c r="B325" s="23">
        <v>3</v>
      </c>
      <c r="C325" s="23" t="s">
        <v>36</v>
      </c>
      <c r="D325" s="23" t="s">
        <v>33</v>
      </c>
      <c r="E325" s="27">
        <v>497.63120000000004</v>
      </c>
      <c r="G325" s="23"/>
      <c r="H325" s="23"/>
      <c r="I325" s="23"/>
      <c r="J325" s="27"/>
    </row>
    <row r="326" spans="2:10" x14ac:dyDescent="0.25">
      <c r="B326" s="23">
        <v>4</v>
      </c>
      <c r="C326" s="23" t="s">
        <v>36</v>
      </c>
      <c r="D326" s="23" t="s">
        <v>33</v>
      </c>
      <c r="E326" s="28">
        <v>404.0883</v>
      </c>
      <c r="G326" s="23"/>
      <c r="H326" s="23"/>
      <c r="I326" s="23"/>
      <c r="J326" s="28"/>
    </row>
    <row r="327" spans="2:10" x14ac:dyDescent="0.25">
      <c r="B327" s="23">
        <v>5</v>
      </c>
      <c r="C327" s="23" t="s">
        <v>36</v>
      </c>
      <c r="D327" s="23" t="s">
        <v>33</v>
      </c>
      <c r="E327" s="27">
        <v>376.12509999999997</v>
      </c>
      <c r="G327" s="23"/>
      <c r="H327" s="23"/>
      <c r="I327" s="23"/>
      <c r="J327" s="27"/>
    </row>
    <row r="328" spans="2:10" x14ac:dyDescent="0.25">
      <c r="B328" s="23">
        <v>6</v>
      </c>
      <c r="C328" s="23" t="s">
        <v>36</v>
      </c>
      <c r="D328" s="23" t="s">
        <v>33</v>
      </c>
      <c r="E328" s="28">
        <v>452.42099999999999</v>
      </c>
      <c r="G328" s="23"/>
      <c r="H328" s="23"/>
      <c r="I328" s="23"/>
      <c r="J328" s="28"/>
    </row>
    <row r="329" spans="2:10" x14ac:dyDescent="0.25">
      <c r="B329" s="23">
        <v>7</v>
      </c>
      <c r="C329" s="23" t="s">
        <v>36</v>
      </c>
      <c r="D329" s="23" t="s">
        <v>33</v>
      </c>
      <c r="E329" s="27">
        <v>601.57560000000001</v>
      </c>
      <c r="G329" s="23"/>
      <c r="H329" s="23"/>
      <c r="I329" s="23"/>
      <c r="J329" s="27"/>
    </row>
    <row r="330" spans="2:10" x14ac:dyDescent="0.25">
      <c r="B330" s="23">
        <v>8</v>
      </c>
      <c r="C330" s="23" t="s">
        <v>36</v>
      </c>
      <c r="D330" s="23" t="s">
        <v>33</v>
      </c>
      <c r="E330" s="28">
        <v>722.14128000000005</v>
      </c>
      <c r="G330" s="23"/>
      <c r="H330" s="23"/>
      <c r="I330" s="23"/>
      <c r="J330" s="28"/>
    </row>
    <row r="331" spans="2:10" x14ac:dyDescent="0.25">
      <c r="B331" s="23">
        <v>9</v>
      </c>
      <c r="C331" s="23" t="s">
        <v>36</v>
      </c>
      <c r="D331" s="23" t="s">
        <v>33</v>
      </c>
      <c r="E331" s="27">
        <v>932.98471499999994</v>
      </c>
      <c r="G331" s="23"/>
      <c r="H331" s="23"/>
      <c r="I331" s="23"/>
      <c r="J331" s="27"/>
    </row>
    <row r="332" spans="2:10" x14ac:dyDescent="0.25">
      <c r="B332" s="23">
        <v>10</v>
      </c>
      <c r="C332" s="23" t="s">
        <v>36</v>
      </c>
      <c r="D332" s="23" t="s">
        <v>33</v>
      </c>
      <c r="E332" s="28">
        <v>881.11800000000005</v>
      </c>
      <c r="G332" s="23"/>
      <c r="H332" s="23"/>
      <c r="I332" s="23"/>
      <c r="J332" s="28"/>
    </row>
    <row r="333" spans="2:10" x14ac:dyDescent="0.25">
      <c r="B333" s="23">
        <v>11</v>
      </c>
      <c r="C333" s="23" t="s">
        <v>36</v>
      </c>
      <c r="D333" s="23" t="s">
        <v>33</v>
      </c>
      <c r="E333" s="27">
        <v>898.32190000000003</v>
      </c>
      <c r="G333" s="23"/>
      <c r="H333" s="23"/>
      <c r="I333" s="23"/>
      <c r="J333" s="27"/>
    </row>
    <row r="334" spans="2:10" x14ac:dyDescent="0.25">
      <c r="B334" s="23">
        <v>12</v>
      </c>
      <c r="C334" s="23" t="s">
        <v>36</v>
      </c>
      <c r="D334" s="23" t="s">
        <v>33</v>
      </c>
      <c r="E334" s="28">
        <v>698.91624000000002</v>
      </c>
      <c r="G334" s="23"/>
      <c r="H334" s="23"/>
      <c r="I334" s="23"/>
      <c r="J334" s="28"/>
    </row>
    <row r="335" spans="2:10" x14ac:dyDescent="0.25">
      <c r="B335" s="23">
        <v>13</v>
      </c>
      <c r="C335" s="23" t="s">
        <v>36</v>
      </c>
      <c r="D335" s="23" t="s">
        <v>33</v>
      </c>
      <c r="E335" s="27">
        <v>714.3248000000001</v>
      </c>
      <c r="G335" s="23"/>
      <c r="H335" s="23"/>
      <c r="I335" s="23"/>
      <c r="J335" s="27"/>
    </row>
    <row r="336" spans="2:10" x14ac:dyDescent="0.25">
      <c r="B336" s="23">
        <v>14</v>
      </c>
      <c r="C336" s="23" t="s">
        <v>36</v>
      </c>
      <c r="D336" s="23" t="s">
        <v>33</v>
      </c>
      <c r="E336" s="28">
        <v>780.5376</v>
      </c>
      <c r="G336" s="23"/>
      <c r="H336" s="23"/>
      <c r="I336" s="23"/>
      <c r="J336" s="28"/>
    </row>
    <row r="337" spans="2:10" x14ac:dyDescent="0.25">
      <c r="B337" s="23">
        <v>15</v>
      </c>
      <c r="C337" s="23" t="s">
        <v>36</v>
      </c>
      <c r="D337" s="23" t="s">
        <v>33</v>
      </c>
      <c r="E337" s="27">
        <v>681.80399999999997</v>
      </c>
      <c r="G337" s="23"/>
      <c r="H337" s="23"/>
      <c r="I337" s="23"/>
      <c r="J337" s="27"/>
    </row>
    <row r="338" spans="2:10" x14ac:dyDescent="0.25">
      <c r="B338" s="23">
        <v>16</v>
      </c>
      <c r="C338" s="23" t="s">
        <v>36</v>
      </c>
      <c r="D338" s="23" t="s">
        <v>33</v>
      </c>
      <c r="E338" s="28">
        <v>664.536925</v>
      </c>
      <c r="G338" s="23"/>
      <c r="H338" s="23"/>
      <c r="I338" s="23"/>
      <c r="J338" s="28"/>
    </row>
    <row r="339" spans="2:10" x14ac:dyDescent="0.25">
      <c r="B339" s="23">
        <v>17</v>
      </c>
      <c r="C339" s="23" t="s">
        <v>36</v>
      </c>
      <c r="D339" s="23" t="s">
        <v>33</v>
      </c>
      <c r="E339" s="27">
        <v>610.89</v>
      </c>
      <c r="G339" s="23"/>
      <c r="H339" s="23"/>
      <c r="I339" s="23"/>
      <c r="J339" s="27"/>
    </row>
    <row r="340" spans="2:10" x14ac:dyDescent="0.25">
      <c r="B340" s="23">
        <v>18</v>
      </c>
      <c r="C340" s="23" t="s">
        <v>36</v>
      </c>
      <c r="D340" s="23" t="s">
        <v>33</v>
      </c>
      <c r="E340" s="28">
        <v>720.49580000000003</v>
      </c>
      <c r="G340" s="23"/>
      <c r="H340" s="23"/>
      <c r="I340" s="23"/>
      <c r="J340" s="28"/>
    </row>
    <row r="341" spans="2:10" x14ac:dyDescent="0.25">
      <c r="B341" s="23">
        <v>19</v>
      </c>
      <c r="C341" s="23" t="s">
        <v>36</v>
      </c>
      <c r="D341" s="23" t="s">
        <v>33</v>
      </c>
      <c r="E341" s="27">
        <v>720.10880000000009</v>
      </c>
      <c r="G341" s="23"/>
      <c r="H341" s="23"/>
      <c r="I341" s="23"/>
      <c r="J341" s="27"/>
    </row>
    <row r="342" spans="2:10" x14ac:dyDescent="0.25">
      <c r="B342" s="23">
        <v>20</v>
      </c>
      <c r="C342" s="23" t="s">
        <v>36</v>
      </c>
      <c r="D342" s="23" t="s">
        <v>33</v>
      </c>
      <c r="E342" s="28">
        <v>678.80227500000001</v>
      </c>
      <c r="G342" s="23"/>
      <c r="H342" s="23"/>
      <c r="I342" s="23"/>
      <c r="J342" s="28"/>
    </row>
    <row r="343" spans="2:10" x14ac:dyDescent="0.25">
      <c r="B343" s="23">
        <v>21</v>
      </c>
      <c r="C343" s="23" t="s">
        <v>36</v>
      </c>
      <c r="D343" s="23" t="s">
        <v>33</v>
      </c>
      <c r="E343" s="27">
        <v>568.45249999999999</v>
      </c>
      <c r="G343" s="23"/>
      <c r="H343" s="23"/>
      <c r="I343" s="23"/>
      <c r="J343" s="27"/>
    </row>
    <row r="344" spans="2:10" x14ac:dyDescent="0.25">
      <c r="B344" s="23">
        <v>22</v>
      </c>
      <c r="C344" s="23" t="s">
        <v>36</v>
      </c>
      <c r="D344" s="23" t="s">
        <v>33</v>
      </c>
      <c r="E344" s="28">
        <v>584.20440000000008</v>
      </c>
      <c r="G344" s="23"/>
      <c r="H344" s="23"/>
      <c r="I344" s="23"/>
      <c r="J344" s="28"/>
    </row>
    <row r="345" spans="2:10" x14ac:dyDescent="0.25">
      <c r="B345" s="23">
        <v>23</v>
      </c>
      <c r="C345" s="23" t="s">
        <v>36</v>
      </c>
      <c r="D345" s="23" t="s">
        <v>33</v>
      </c>
      <c r="E345" s="27">
        <v>641.33977500000003</v>
      </c>
      <c r="G345" s="23"/>
      <c r="H345" s="23"/>
      <c r="I345" s="23"/>
      <c r="J345" s="27"/>
    </row>
    <row r="346" spans="2:10" x14ac:dyDescent="0.25">
      <c r="B346" s="23">
        <v>24</v>
      </c>
      <c r="C346" s="23" t="s">
        <v>36</v>
      </c>
      <c r="D346" s="23" t="s">
        <v>33</v>
      </c>
      <c r="E346" s="28">
        <v>624.40875000000005</v>
      </c>
      <c r="G346" s="23"/>
      <c r="H346" s="23"/>
      <c r="I346" s="23"/>
      <c r="J346" s="28"/>
    </row>
    <row r="347" spans="2:10" x14ac:dyDescent="0.25">
      <c r="B347" s="23">
        <v>25</v>
      </c>
      <c r="C347" s="23" t="s">
        <v>36</v>
      </c>
      <c r="D347" s="23" t="s">
        <v>33</v>
      </c>
      <c r="E347" s="27">
        <v>664.859375</v>
      </c>
      <c r="G347" s="23"/>
      <c r="H347" s="23"/>
      <c r="I347" s="23"/>
      <c r="J347" s="27"/>
    </row>
    <row r="348" spans="2:10" x14ac:dyDescent="0.25">
      <c r="B348" s="23">
        <v>26</v>
      </c>
      <c r="C348" s="23" t="s">
        <v>36</v>
      </c>
      <c r="D348" s="23" t="s">
        <v>33</v>
      </c>
      <c r="E348" s="28">
        <v>736.75237500000003</v>
      </c>
      <c r="G348" s="23"/>
      <c r="H348" s="23"/>
      <c r="I348" s="23"/>
      <c r="J348" s="28"/>
    </row>
    <row r="349" spans="2:10" x14ac:dyDescent="0.25">
      <c r="B349" s="23">
        <v>27</v>
      </c>
      <c r="C349" s="23" t="s">
        <v>36</v>
      </c>
      <c r="D349" s="23" t="s">
        <v>33</v>
      </c>
      <c r="E349" s="27">
        <v>1016.4725999999999</v>
      </c>
      <c r="G349" s="23"/>
      <c r="H349" s="23"/>
      <c r="I349" s="23"/>
      <c r="J349" s="27"/>
    </row>
    <row r="350" spans="2:10" x14ac:dyDescent="0.25">
      <c r="B350" s="23">
        <v>28</v>
      </c>
      <c r="C350" s="23" t="s">
        <v>36</v>
      </c>
      <c r="D350" s="23" t="s">
        <v>33</v>
      </c>
      <c r="E350" s="28">
        <v>787.59337500000004</v>
      </c>
      <c r="G350" s="23"/>
      <c r="H350" s="23"/>
      <c r="I350" s="23"/>
      <c r="J350" s="28"/>
    </row>
    <row r="351" spans="2:10" x14ac:dyDescent="0.25">
      <c r="B351" s="23">
        <v>29</v>
      </c>
      <c r="C351" s="23" t="s">
        <v>36</v>
      </c>
      <c r="D351" s="23" t="s">
        <v>33</v>
      </c>
      <c r="E351" s="27">
        <v>805.13159999999993</v>
      </c>
      <c r="G351" s="23"/>
      <c r="H351" s="23"/>
      <c r="I351" s="23"/>
      <c r="J351" s="27"/>
    </row>
    <row r="352" spans="2:10" x14ac:dyDescent="0.25">
      <c r="B352" s="23">
        <v>30</v>
      </c>
      <c r="C352" s="23" t="s">
        <v>36</v>
      </c>
      <c r="D352" s="23" t="s">
        <v>33</v>
      </c>
      <c r="E352" s="28">
        <v>761.96915999999999</v>
      </c>
      <c r="G352" s="23"/>
      <c r="H352" s="23"/>
      <c r="I352" s="23"/>
      <c r="J352" s="28"/>
    </row>
    <row r="353" spans="2:10" x14ac:dyDescent="0.25">
      <c r="B353" s="23">
        <v>31</v>
      </c>
      <c r="C353" s="23" t="s">
        <v>36</v>
      </c>
      <c r="D353" s="23" t="s">
        <v>33</v>
      </c>
      <c r="E353" s="27">
        <v>793</v>
      </c>
      <c r="G353" s="23"/>
      <c r="H353" s="23"/>
      <c r="I353" s="23"/>
      <c r="J353" s="27"/>
    </row>
    <row r="354" spans="2:10" x14ac:dyDescent="0.25">
      <c r="B354" s="23">
        <v>32</v>
      </c>
      <c r="C354" s="23" t="s">
        <v>36</v>
      </c>
      <c r="D354" s="23" t="s">
        <v>33</v>
      </c>
      <c r="E354" s="28">
        <v>952</v>
      </c>
      <c r="G354" s="23"/>
      <c r="H354" s="23"/>
      <c r="I354" s="23"/>
      <c r="J354" s="28"/>
    </row>
    <row r="355" spans="2:10" x14ac:dyDescent="0.25">
      <c r="B355" s="23">
        <v>33</v>
      </c>
      <c r="C355" s="23" t="s">
        <v>36</v>
      </c>
      <c r="D355" s="23" t="s">
        <v>33</v>
      </c>
      <c r="E355" s="27">
        <v>827</v>
      </c>
      <c r="G355" s="23"/>
      <c r="H355" s="23"/>
      <c r="I355" s="23"/>
      <c r="J355" s="27"/>
    </row>
    <row r="356" spans="2:10" x14ac:dyDescent="0.25">
      <c r="B356" s="23">
        <v>34</v>
      </c>
      <c r="C356" s="23" t="s">
        <v>36</v>
      </c>
      <c r="D356" s="23" t="s">
        <v>33</v>
      </c>
      <c r="E356" s="28">
        <v>873</v>
      </c>
      <c r="G356" s="23"/>
      <c r="H356" s="23"/>
      <c r="I356" s="23"/>
      <c r="J356" s="28"/>
    </row>
    <row r="357" spans="2:10" x14ac:dyDescent="0.25">
      <c r="B357" s="23">
        <v>35</v>
      </c>
      <c r="C357" s="23" t="s">
        <v>36</v>
      </c>
      <c r="D357" s="23" t="s">
        <v>33</v>
      </c>
      <c r="E357" s="27">
        <v>860</v>
      </c>
      <c r="G357" s="23"/>
      <c r="H357" s="23"/>
      <c r="I357" s="23"/>
      <c r="J357" s="27"/>
    </row>
    <row r="358" spans="2:10" x14ac:dyDescent="0.25">
      <c r="B358" s="23">
        <v>36</v>
      </c>
      <c r="C358" s="23" t="s">
        <v>36</v>
      </c>
      <c r="D358" s="23" t="s">
        <v>33</v>
      </c>
      <c r="E358" s="28">
        <v>755</v>
      </c>
      <c r="G358" s="23"/>
      <c r="H358" s="23"/>
      <c r="I358" s="23"/>
      <c r="J358" s="28"/>
    </row>
    <row r="359" spans="2:10" x14ac:dyDescent="0.25">
      <c r="B359" s="23">
        <v>37</v>
      </c>
      <c r="C359" s="23" t="s">
        <v>36</v>
      </c>
      <c r="D359" s="23" t="s">
        <v>33</v>
      </c>
      <c r="E359" s="27">
        <v>703</v>
      </c>
      <c r="G359" s="23"/>
      <c r="H359" s="23"/>
      <c r="I359" s="23"/>
      <c r="J359" s="27"/>
    </row>
    <row r="360" spans="2:10" x14ac:dyDescent="0.25">
      <c r="B360" s="23">
        <v>38</v>
      </c>
      <c r="C360" s="23" t="s">
        <v>36</v>
      </c>
      <c r="D360" s="23" t="s">
        <v>33</v>
      </c>
      <c r="E360" s="29">
        <v>750</v>
      </c>
      <c r="G360" s="23"/>
      <c r="H360" s="23"/>
      <c r="I360" s="23"/>
      <c r="J360" s="29"/>
    </row>
    <row r="361" spans="2:10" x14ac:dyDescent="0.25">
      <c r="B361" s="23">
        <v>39</v>
      </c>
      <c r="C361" s="23" t="s">
        <v>36</v>
      </c>
      <c r="D361" s="23" t="s">
        <v>33</v>
      </c>
      <c r="E361" s="30">
        <v>511.17660000000001</v>
      </c>
      <c r="G361" s="23"/>
      <c r="H361" s="23"/>
      <c r="I361" s="23"/>
      <c r="J361" s="30"/>
    </row>
    <row r="362" spans="2:10" x14ac:dyDescent="0.25">
      <c r="B362" s="23">
        <v>40</v>
      </c>
      <c r="C362" s="23" t="s">
        <v>36</v>
      </c>
      <c r="D362" s="23" t="s">
        <v>33</v>
      </c>
      <c r="E362" s="32">
        <v>774.04</v>
      </c>
      <c r="G362" s="23"/>
      <c r="H362" s="23"/>
      <c r="I362" s="23"/>
      <c r="J362" s="32"/>
    </row>
    <row r="363" spans="2:10" hidden="1" x14ac:dyDescent="0.25">
      <c r="B363" s="23">
        <v>1</v>
      </c>
      <c r="C363" s="23" t="s">
        <v>37</v>
      </c>
      <c r="D363" s="23" t="s">
        <v>31</v>
      </c>
      <c r="E363" s="27">
        <v>613.57080000000008</v>
      </c>
      <c r="G363" s="23"/>
      <c r="H363" s="23"/>
      <c r="I363" s="23"/>
      <c r="J363" s="27"/>
    </row>
    <row r="364" spans="2:10" hidden="1" x14ac:dyDescent="0.25">
      <c r="B364" s="23">
        <v>2</v>
      </c>
      <c r="C364" s="23" t="s">
        <v>37</v>
      </c>
      <c r="D364" s="23" t="s">
        <v>31</v>
      </c>
      <c r="E364" s="28">
        <v>783.05938000000003</v>
      </c>
      <c r="G364" s="23"/>
      <c r="H364" s="23"/>
      <c r="I364" s="23"/>
      <c r="J364" s="28"/>
    </row>
    <row r="365" spans="2:10" hidden="1" x14ac:dyDescent="0.25">
      <c r="B365" s="23">
        <v>3</v>
      </c>
      <c r="C365" s="23" t="s">
        <v>37</v>
      </c>
      <c r="D365" s="23" t="s">
        <v>31</v>
      </c>
      <c r="E365" s="27">
        <v>895.92048</v>
      </c>
      <c r="G365" s="23"/>
      <c r="H365" s="23"/>
      <c r="I365" s="23"/>
      <c r="J365" s="27"/>
    </row>
    <row r="366" spans="2:10" hidden="1" x14ac:dyDescent="0.25">
      <c r="B366" s="23">
        <v>4</v>
      </c>
      <c r="C366" s="23" t="s">
        <v>37</v>
      </c>
      <c r="D366" s="23" t="s">
        <v>31</v>
      </c>
      <c r="E366" s="28">
        <v>1078.4479199999998</v>
      </c>
      <c r="G366" s="23"/>
      <c r="H366" s="23"/>
      <c r="I366" s="23"/>
      <c r="J366" s="28"/>
    </row>
    <row r="367" spans="2:10" hidden="1" x14ac:dyDescent="0.25">
      <c r="B367" s="23">
        <v>5</v>
      </c>
      <c r="C367" s="23" t="s">
        <v>37</v>
      </c>
      <c r="D367" s="23" t="s">
        <v>31</v>
      </c>
      <c r="E367" s="27">
        <v>1085.3009999999999</v>
      </c>
      <c r="G367" s="23"/>
      <c r="H367" s="23"/>
      <c r="I367" s="23"/>
      <c r="J367" s="27"/>
    </row>
    <row r="368" spans="2:10" hidden="1" x14ac:dyDescent="0.25">
      <c r="B368" s="23">
        <v>6</v>
      </c>
      <c r="C368" s="23" t="s">
        <v>37</v>
      </c>
      <c r="D368" s="23" t="s">
        <v>31</v>
      </c>
      <c r="E368" s="28">
        <v>1455.551475</v>
      </c>
      <c r="G368" s="23"/>
      <c r="H368" s="23"/>
      <c r="I368" s="23"/>
      <c r="J368" s="28"/>
    </row>
    <row r="369" spans="2:10" hidden="1" x14ac:dyDescent="0.25">
      <c r="B369" s="23">
        <v>7</v>
      </c>
      <c r="C369" s="23" t="s">
        <v>37</v>
      </c>
      <c r="D369" s="23" t="s">
        <v>31</v>
      </c>
      <c r="E369" s="27">
        <v>1278.9536000000001</v>
      </c>
      <c r="G369" s="23"/>
      <c r="H369" s="23"/>
      <c r="I369" s="23"/>
      <c r="J369" s="27"/>
    </row>
    <row r="370" spans="2:10" hidden="1" x14ac:dyDescent="0.25">
      <c r="B370" s="23">
        <v>8</v>
      </c>
      <c r="C370" s="23" t="s">
        <v>37</v>
      </c>
      <c r="D370" s="23" t="s">
        <v>31</v>
      </c>
      <c r="E370" s="28">
        <v>1046.58554</v>
      </c>
      <c r="G370" s="23"/>
      <c r="H370" s="23"/>
      <c r="I370" s="23"/>
      <c r="J370" s="28"/>
    </row>
    <row r="371" spans="2:10" hidden="1" x14ac:dyDescent="0.25">
      <c r="B371" s="23">
        <v>9</v>
      </c>
      <c r="C371" s="23" t="s">
        <v>37</v>
      </c>
      <c r="D371" s="23" t="s">
        <v>31</v>
      </c>
      <c r="E371" s="27">
        <v>1253.4911999999999</v>
      </c>
      <c r="G371" s="23"/>
      <c r="H371" s="23"/>
      <c r="I371" s="23"/>
      <c r="J371" s="27"/>
    </row>
    <row r="372" spans="2:10" hidden="1" x14ac:dyDescent="0.25">
      <c r="B372" s="23">
        <v>10</v>
      </c>
      <c r="C372" s="23" t="s">
        <v>37</v>
      </c>
      <c r="D372" s="23" t="s">
        <v>31</v>
      </c>
      <c r="E372" s="28">
        <v>1569.7108400000002</v>
      </c>
      <c r="G372" s="23"/>
      <c r="H372" s="23"/>
      <c r="I372" s="23"/>
      <c r="J372" s="28"/>
    </row>
    <row r="373" spans="2:10" hidden="1" x14ac:dyDescent="0.25">
      <c r="B373" s="23">
        <v>11</v>
      </c>
      <c r="C373" s="23" t="s">
        <v>37</v>
      </c>
      <c r="D373" s="23" t="s">
        <v>31</v>
      </c>
      <c r="E373" s="27">
        <v>1791.4953</v>
      </c>
      <c r="G373" s="23"/>
      <c r="H373" s="23"/>
      <c r="I373" s="23"/>
      <c r="J373" s="27"/>
    </row>
    <row r="374" spans="2:10" hidden="1" x14ac:dyDescent="0.25">
      <c r="B374" s="23">
        <v>12</v>
      </c>
      <c r="C374" s="23" t="s">
        <v>37</v>
      </c>
      <c r="D374" s="23" t="s">
        <v>31</v>
      </c>
      <c r="E374" s="28">
        <v>1780.6908000000001</v>
      </c>
      <c r="G374" s="23"/>
      <c r="H374" s="23"/>
      <c r="I374" s="23"/>
      <c r="J374" s="28"/>
    </row>
    <row r="375" spans="2:10" hidden="1" x14ac:dyDescent="0.25">
      <c r="B375" s="23">
        <v>13</v>
      </c>
      <c r="C375" s="23" t="s">
        <v>37</v>
      </c>
      <c r="D375" s="23" t="s">
        <v>31</v>
      </c>
      <c r="E375" s="27">
        <v>1650.6504</v>
      </c>
      <c r="G375" s="23"/>
      <c r="H375" s="23"/>
      <c r="I375" s="23"/>
      <c r="J375" s="27"/>
    </row>
    <row r="376" spans="2:10" hidden="1" x14ac:dyDescent="0.25">
      <c r="B376" s="23">
        <v>14</v>
      </c>
      <c r="C376" s="23" t="s">
        <v>37</v>
      </c>
      <c r="D376" s="23" t="s">
        <v>31</v>
      </c>
      <c r="E376" s="28">
        <v>1866.25828</v>
      </c>
      <c r="G376" s="23"/>
      <c r="H376" s="23"/>
      <c r="I376" s="23"/>
      <c r="J376" s="28"/>
    </row>
    <row r="377" spans="2:10" hidden="1" x14ac:dyDescent="0.25">
      <c r="B377" s="23">
        <v>15</v>
      </c>
      <c r="C377" s="23" t="s">
        <v>37</v>
      </c>
      <c r="D377" s="23" t="s">
        <v>31</v>
      </c>
      <c r="E377" s="27">
        <v>1745.7825</v>
      </c>
      <c r="G377" s="23"/>
      <c r="H377" s="23"/>
      <c r="I377" s="23"/>
      <c r="J377" s="27"/>
    </row>
    <row r="378" spans="2:10" hidden="1" x14ac:dyDescent="0.25">
      <c r="B378" s="23">
        <v>16</v>
      </c>
      <c r="C378" s="23" t="s">
        <v>37</v>
      </c>
      <c r="D378" s="23" t="s">
        <v>31</v>
      </c>
      <c r="E378" s="28">
        <v>1708.0116</v>
      </c>
      <c r="G378" s="23"/>
      <c r="H378" s="23"/>
      <c r="I378" s="23"/>
      <c r="J378" s="28"/>
    </row>
    <row r="379" spans="2:10" hidden="1" x14ac:dyDescent="0.25">
      <c r="B379" s="23">
        <v>17</v>
      </c>
      <c r="C379" s="23" t="s">
        <v>37</v>
      </c>
      <c r="D379" s="23" t="s">
        <v>31</v>
      </c>
      <c r="E379" s="27">
        <v>1632.5591999999999</v>
      </c>
      <c r="G379" s="23"/>
      <c r="H379" s="23"/>
      <c r="I379" s="23"/>
      <c r="J379" s="27"/>
    </row>
    <row r="380" spans="2:10" hidden="1" x14ac:dyDescent="0.25">
      <c r="B380" s="23">
        <v>18</v>
      </c>
      <c r="C380" s="23" t="s">
        <v>37</v>
      </c>
      <c r="D380" s="23" t="s">
        <v>31</v>
      </c>
      <c r="E380" s="28">
        <v>1740.4502399999999</v>
      </c>
      <c r="G380" s="23"/>
      <c r="H380" s="23"/>
      <c r="I380" s="23"/>
      <c r="J380" s="28"/>
    </row>
    <row r="381" spans="2:10" hidden="1" x14ac:dyDescent="0.25">
      <c r="B381" s="23">
        <v>19</v>
      </c>
      <c r="C381" s="23" t="s">
        <v>37</v>
      </c>
      <c r="D381" s="23" t="s">
        <v>31</v>
      </c>
      <c r="E381" s="27">
        <v>1923.8026499999999</v>
      </c>
      <c r="G381" s="23"/>
      <c r="H381" s="23"/>
      <c r="I381" s="23"/>
      <c r="J381" s="27"/>
    </row>
    <row r="382" spans="2:10" hidden="1" x14ac:dyDescent="0.25">
      <c r="B382" s="23">
        <v>20</v>
      </c>
      <c r="C382" s="23" t="s">
        <v>37</v>
      </c>
      <c r="D382" s="23" t="s">
        <v>31</v>
      </c>
      <c r="E382" s="28">
        <v>1800.1015049999999</v>
      </c>
      <c r="G382" s="23"/>
      <c r="H382" s="23"/>
      <c r="I382" s="23"/>
      <c r="J382" s="28"/>
    </row>
    <row r="383" spans="2:10" hidden="1" x14ac:dyDescent="0.25">
      <c r="B383" s="23">
        <v>21</v>
      </c>
      <c r="C383" s="23" t="s">
        <v>37</v>
      </c>
      <c r="D383" s="23" t="s">
        <v>31</v>
      </c>
      <c r="E383" s="27">
        <v>1733.6688000000001</v>
      </c>
      <c r="G383" s="23"/>
      <c r="H383" s="23"/>
      <c r="I383" s="23"/>
      <c r="J383" s="27"/>
    </row>
    <row r="384" spans="2:10" hidden="1" x14ac:dyDescent="0.25">
      <c r="B384" s="23">
        <v>22</v>
      </c>
      <c r="C384" s="23" t="s">
        <v>37</v>
      </c>
      <c r="D384" s="23" t="s">
        <v>31</v>
      </c>
      <c r="E384" s="28">
        <v>1889.3422800000001</v>
      </c>
      <c r="G384" s="23"/>
      <c r="H384" s="23"/>
      <c r="I384" s="23"/>
      <c r="J384" s="28"/>
    </row>
    <row r="385" spans="2:10" hidden="1" x14ac:dyDescent="0.25">
      <c r="B385" s="23">
        <v>23</v>
      </c>
      <c r="C385" s="23" t="s">
        <v>37</v>
      </c>
      <c r="D385" s="23" t="s">
        <v>31</v>
      </c>
      <c r="E385" s="27">
        <v>1986.0633600000001</v>
      </c>
      <c r="G385" s="23"/>
      <c r="H385" s="23"/>
      <c r="I385" s="23"/>
      <c r="J385" s="27"/>
    </row>
    <row r="386" spans="2:10" hidden="1" x14ac:dyDescent="0.25">
      <c r="B386" s="23">
        <v>24</v>
      </c>
      <c r="C386" s="23" t="s">
        <v>37</v>
      </c>
      <c r="D386" s="23" t="s">
        <v>31</v>
      </c>
      <c r="E386" s="28">
        <v>2050.3216050000001</v>
      </c>
      <c r="G386" s="23"/>
      <c r="H386" s="23"/>
      <c r="I386" s="23"/>
      <c r="J386" s="28"/>
    </row>
    <row r="387" spans="2:10" hidden="1" x14ac:dyDescent="0.25">
      <c r="B387" s="23">
        <v>25</v>
      </c>
      <c r="C387" s="23" t="s">
        <v>37</v>
      </c>
      <c r="D387" s="23" t="s">
        <v>31</v>
      </c>
      <c r="E387" s="27">
        <v>1954.7073</v>
      </c>
      <c r="G387" s="23"/>
      <c r="H387" s="23"/>
      <c r="I387" s="23"/>
      <c r="J387" s="27"/>
    </row>
    <row r="388" spans="2:10" hidden="1" x14ac:dyDescent="0.25">
      <c r="B388" s="23">
        <v>26</v>
      </c>
      <c r="C388" s="23" t="s">
        <v>37</v>
      </c>
      <c r="D388" s="23" t="s">
        <v>31</v>
      </c>
      <c r="E388" s="28">
        <v>2207.6233510449365</v>
      </c>
      <c r="G388" s="23"/>
      <c r="H388" s="23"/>
      <c r="I388" s="23"/>
      <c r="J388" s="28"/>
    </row>
    <row r="389" spans="2:10" hidden="1" x14ac:dyDescent="0.25">
      <c r="B389" s="23">
        <v>27</v>
      </c>
      <c r="C389" s="23" t="s">
        <v>37</v>
      </c>
      <c r="D389" s="23" t="s">
        <v>31</v>
      </c>
      <c r="E389" s="27">
        <v>2043.25234</v>
      </c>
      <c r="G389" s="23"/>
      <c r="H389" s="23"/>
      <c r="I389" s="23"/>
      <c r="J389" s="27"/>
    </row>
    <row r="390" spans="2:10" hidden="1" x14ac:dyDescent="0.25">
      <c r="B390" s="23">
        <v>28</v>
      </c>
      <c r="C390" s="23" t="s">
        <v>37</v>
      </c>
      <c r="D390" s="23" t="s">
        <v>31</v>
      </c>
      <c r="E390" s="28">
        <v>2016.5013300000001</v>
      </c>
      <c r="G390" s="23"/>
      <c r="H390" s="23"/>
      <c r="I390" s="23"/>
      <c r="J390" s="28"/>
    </row>
    <row r="391" spans="2:10" hidden="1" x14ac:dyDescent="0.25">
      <c r="B391" s="23">
        <v>29</v>
      </c>
      <c r="C391" s="23" t="s">
        <v>37</v>
      </c>
      <c r="D391" s="23" t="s">
        <v>31</v>
      </c>
      <c r="E391" s="27">
        <v>1907.177805</v>
      </c>
      <c r="G391" s="23"/>
      <c r="H391" s="23"/>
      <c r="I391" s="23"/>
      <c r="J391" s="27"/>
    </row>
    <row r="392" spans="2:10" hidden="1" x14ac:dyDescent="0.25">
      <c r="B392" s="23">
        <v>30</v>
      </c>
      <c r="C392" s="23" t="s">
        <v>37</v>
      </c>
      <c r="D392" s="23" t="s">
        <v>31</v>
      </c>
      <c r="E392" s="28">
        <v>1890.5133799987204</v>
      </c>
      <c r="G392" s="23"/>
      <c r="H392" s="23"/>
      <c r="I392" s="23"/>
      <c r="J392" s="28"/>
    </row>
    <row r="393" spans="2:10" hidden="1" x14ac:dyDescent="0.25">
      <c r="B393" s="23">
        <v>31</v>
      </c>
      <c r="C393" s="23" t="s">
        <v>37</v>
      </c>
      <c r="D393" s="23" t="s">
        <v>31</v>
      </c>
      <c r="E393" s="27">
        <v>1763.7024825000003</v>
      </c>
      <c r="G393" s="23"/>
      <c r="H393" s="23"/>
      <c r="I393" s="23"/>
      <c r="J393" s="27"/>
    </row>
    <row r="394" spans="2:10" hidden="1" x14ac:dyDescent="0.25">
      <c r="B394" s="23">
        <v>32</v>
      </c>
      <c r="C394" s="23" t="s">
        <v>37</v>
      </c>
      <c r="D394" s="23" t="s">
        <v>31</v>
      </c>
      <c r="E394" s="28">
        <v>1751.2640700000004</v>
      </c>
      <c r="G394" s="23"/>
      <c r="H394" s="23"/>
      <c r="I394" s="23"/>
      <c r="J394" s="28"/>
    </row>
    <row r="395" spans="2:10" hidden="1" x14ac:dyDescent="0.25">
      <c r="B395" s="23">
        <v>33</v>
      </c>
      <c r="C395" s="23" t="s">
        <v>37</v>
      </c>
      <c r="D395" s="23" t="s">
        <v>31</v>
      </c>
      <c r="E395" s="27">
        <v>1804.1927877892174</v>
      </c>
      <c r="G395" s="23"/>
      <c r="H395" s="23"/>
      <c r="I395" s="23"/>
      <c r="J395" s="27"/>
    </row>
    <row r="396" spans="2:10" hidden="1" x14ac:dyDescent="0.25">
      <c r="B396" s="23">
        <v>34</v>
      </c>
      <c r="C396" s="23" t="s">
        <v>37</v>
      </c>
      <c r="D396" s="23" t="s">
        <v>31</v>
      </c>
      <c r="E396" s="28">
        <v>1957</v>
      </c>
      <c r="G396" s="23"/>
      <c r="H396" s="23"/>
      <c r="I396" s="23"/>
      <c r="J396" s="28"/>
    </row>
    <row r="397" spans="2:10" hidden="1" x14ac:dyDescent="0.25">
      <c r="B397" s="23">
        <v>35</v>
      </c>
      <c r="C397" s="23" t="s">
        <v>37</v>
      </c>
      <c r="D397" s="23" t="s">
        <v>31</v>
      </c>
      <c r="E397" s="27">
        <v>1625</v>
      </c>
      <c r="G397" s="23"/>
      <c r="H397" s="23"/>
      <c r="I397" s="23"/>
      <c r="J397" s="27"/>
    </row>
    <row r="398" spans="2:10" hidden="1" x14ac:dyDescent="0.25">
      <c r="B398" s="23">
        <v>36</v>
      </c>
      <c r="C398" s="23" t="s">
        <v>37</v>
      </c>
      <c r="D398" s="23" t="s">
        <v>31</v>
      </c>
      <c r="E398" s="28">
        <v>1430</v>
      </c>
      <c r="G398" s="23"/>
      <c r="H398" s="23"/>
      <c r="I398" s="23"/>
      <c r="J398" s="28"/>
    </row>
    <row r="399" spans="2:10" hidden="1" x14ac:dyDescent="0.25">
      <c r="B399" s="23">
        <v>37</v>
      </c>
      <c r="C399" s="23" t="s">
        <v>37</v>
      </c>
      <c r="D399" s="23" t="s">
        <v>31</v>
      </c>
      <c r="E399" s="27">
        <v>1689</v>
      </c>
      <c r="G399" s="23"/>
      <c r="H399" s="23"/>
      <c r="I399" s="23"/>
      <c r="J399" s="27"/>
    </row>
    <row r="400" spans="2:10" hidden="1" x14ac:dyDescent="0.25">
      <c r="B400" s="23">
        <v>38</v>
      </c>
      <c r="C400" s="23" t="s">
        <v>37</v>
      </c>
      <c r="D400" s="23" t="s">
        <v>31</v>
      </c>
      <c r="E400" s="29">
        <v>1647</v>
      </c>
      <c r="G400" s="23"/>
      <c r="H400" s="23"/>
      <c r="I400" s="23"/>
      <c r="J400" s="29"/>
    </row>
    <row r="401" spans="2:10" hidden="1" x14ac:dyDescent="0.25">
      <c r="B401" s="23">
        <v>39</v>
      </c>
      <c r="C401" s="23" t="s">
        <v>37</v>
      </c>
      <c r="D401" s="23" t="s">
        <v>31</v>
      </c>
      <c r="E401" s="30">
        <v>1393.8106</v>
      </c>
      <c r="G401" s="23"/>
      <c r="H401" s="23"/>
      <c r="I401" s="23"/>
      <c r="J401" s="30"/>
    </row>
    <row r="402" spans="2:10" hidden="1" x14ac:dyDescent="0.25">
      <c r="B402" s="23">
        <v>40</v>
      </c>
      <c r="C402" s="23" t="s">
        <v>37</v>
      </c>
      <c r="D402" s="23" t="s">
        <v>31</v>
      </c>
      <c r="E402" s="32">
        <v>1330.9510499999999</v>
      </c>
      <c r="G402" s="23"/>
      <c r="H402" s="23"/>
      <c r="I402" s="23"/>
      <c r="J402" s="32"/>
    </row>
    <row r="403" spans="2:10" x14ac:dyDescent="0.25">
      <c r="B403" s="23">
        <v>1</v>
      </c>
      <c r="C403" s="23" t="s">
        <v>37</v>
      </c>
      <c r="D403" s="23" t="s">
        <v>33</v>
      </c>
      <c r="E403" s="41">
        <v>135.63144</v>
      </c>
      <c r="G403" s="23"/>
      <c r="H403" s="23"/>
      <c r="I403" s="23"/>
      <c r="J403" s="41"/>
    </row>
    <row r="404" spans="2:10" x14ac:dyDescent="0.25">
      <c r="B404" s="23">
        <v>2</v>
      </c>
      <c r="C404" s="23" t="s">
        <v>37</v>
      </c>
      <c r="D404" s="23" t="s">
        <v>33</v>
      </c>
      <c r="E404" s="42">
        <v>156.50205</v>
      </c>
      <c r="G404" s="23"/>
      <c r="H404" s="23"/>
      <c r="I404" s="23"/>
      <c r="J404" s="42"/>
    </row>
    <row r="405" spans="2:10" x14ac:dyDescent="0.25">
      <c r="B405" s="23">
        <v>3</v>
      </c>
      <c r="C405" s="23" t="s">
        <v>37</v>
      </c>
      <c r="D405" s="23" t="s">
        <v>33</v>
      </c>
      <c r="E405" s="41">
        <v>181.31724</v>
      </c>
      <c r="G405" s="23"/>
      <c r="H405" s="23"/>
      <c r="I405" s="23"/>
      <c r="J405" s="41"/>
    </row>
    <row r="406" spans="2:10" x14ac:dyDescent="0.25">
      <c r="B406" s="23">
        <v>4</v>
      </c>
      <c r="C406" s="23" t="s">
        <v>37</v>
      </c>
      <c r="D406" s="23" t="s">
        <v>33</v>
      </c>
      <c r="E406" s="42">
        <v>262.86279999999999</v>
      </c>
      <c r="G406" s="23"/>
      <c r="H406" s="23"/>
      <c r="I406" s="23"/>
      <c r="J406" s="42"/>
    </row>
    <row r="407" spans="2:10" x14ac:dyDescent="0.25">
      <c r="B407" s="23">
        <v>5</v>
      </c>
      <c r="C407" s="23" t="s">
        <v>37</v>
      </c>
      <c r="D407" s="23" t="s">
        <v>33</v>
      </c>
      <c r="E407" s="41">
        <v>275.25749999999999</v>
      </c>
      <c r="G407" s="23"/>
      <c r="H407" s="23"/>
      <c r="I407" s="23"/>
      <c r="J407" s="41"/>
    </row>
    <row r="408" spans="2:10" x14ac:dyDescent="0.25">
      <c r="B408" s="23">
        <v>6</v>
      </c>
      <c r="C408" s="23" t="s">
        <v>37</v>
      </c>
      <c r="D408" s="23" t="s">
        <v>33</v>
      </c>
      <c r="E408" s="42">
        <v>312.33457500000003</v>
      </c>
      <c r="G408" s="23"/>
      <c r="H408" s="23"/>
      <c r="I408" s="23"/>
      <c r="J408" s="42"/>
    </row>
    <row r="409" spans="2:10" x14ac:dyDescent="0.25">
      <c r="B409" s="23">
        <v>7</v>
      </c>
      <c r="C409" s="23" t="s">
        <v>37</v>
      </c>
      <c r="D409" s="23" t="s">
        <v>33</v>
      </c>
      <c r="E409" s="41">
        <v>293.72194999999999</v>
      </c>
      <c r="G409" s="23"/>
      <c r="H409" s="23"/>
      <c r="I409" s="23"/>
      <c r="J409" s="41"/>
    </row>
    <row r="410" spans="2:10" x14ac:dyDescent="0.25">
      <c r="B410" s="23">
        <v>8</v>
      </c>
      <c r="C410" s="23" t="s">
        <v>37</v>
      </c>
      <c r="D410" s="23" t="s">
        <v>33</v>
      </c>
      <c r="E410" s="42">
        <v>179.49007999999998</v>
      </c>
      <c r="G410" s="23"/>
      <c r="H410" s="23"/>
      <c r="I410" s="23"/>
      <c r="J410" s="42"/>
    </row>
    <row r="411" spans="2:10" x14ac:dyDescent="0.25">
      <c r="B411" s="23">
        <v>9</v>
      </c>
      <c r="C411" s="23" t="s">
        <v>37</v>
      </c>
      <c r="D411" s="23" t="s">
        <v>33</v>
      </c>
      <c r="E411" s="41">
        <v>276.41088000000002</v>
      </c>
      <c r="G411" s="23"/>
      <c r="H411" s="23"/>
      <c r="I411" s="23"/>
      <c r="J411" s="41"/>
    </row>
    <row r="412" spans="2:10" x14ac:dyDescent="0.25">
      <c r="B412" s="23">
        <v>10</v>
      </c>
      <c r="C412" s="23" t="s">
        <v>37</v>
      </c>
      <c r="D412" s="23" t="s">
        <v>33</v>
      </c>
      <c r="E412" s="42">
        <v>290.83679999999998</v>
      </c>
      <c r="G412" s="23"/>
      <c r="H412" s="23"/>
      <c r="I412" s="23"/>
      <c r="J412" s="42"/>
    </row>
    <row r="413" spans="2:10" x14ac:dyDescent="0.25">
      <c r="B413" s="23">
        <v>11</v>
      </c>
      <c r="C413" s="23" t="s">
        <v>37</v>
      </c>
      <c r="D413" s="23" t="s">
        <v>33</v>
      </c>
      <c r="E413" s="41">
        <v>414.77969999999999</v>
      </c>
      <c r="G413" s="23"/>
      <c r="H413" s="23"/>
      <c r="I413" s="23"/>
      <c r="J413" s="41"/>
    </row>
    <row r="414" spans="2:10" x14ac:dyDescent="0.25">
      <c r="B414" s="23">
        <v>12</v>
      </c>
      <c r="C414" s="23" t="s">
        <v>37</v>
      </c>
      <c r="D414" s="23" t="s">
        <v>33</v>
      </c>
      <c r="E414" s="42">
        <v>318.19607999999999</v>
      </c>
      <c r="G414" s="23"/>
      <c r="H414" s="23"/>
      <c r="I414" s="23"/>
      <c r="J414" s="42"/>
    </row>
    <row r="415" spans="2:10" x14ac:dyDescent="0.25">
      <c r="B415" s="23">
        <v>13</v>
      </c>
      <c r="C415" s="23" t="s">
        <v>37</v>
      </c>
      <c r="D415" s="23" t="s">
        <v>33</v>
      </c>
      <c r="E415" s="41">
        <v>366.81119999999999</v>
      </c>
      <c r="G415" s="23"/>
      <c r="H415" s="23"/>
      <c r="I415" s="23"/>
      <c r="J415" s="41"/>
    </row>
    <row r="416" spans="2:10" x14ac:dyDescent="0.25">
      <c r="B416" s="23">
        <v>14</v>
      </c>
      <c r="C416" s="23" t="s">
        <v>37</v>
      </c>
      <c r="D416" s="23" t="s">
        <v>33</v>
      </c>
      <c r="E416" s="42">
        <v>309.72283000000004</v>
      </c>
      <c r="G416" s="23"/>
      <c r="H416" s="23"/>
      <c r="I416" s="23"/>
      <c r="J416" s="42"/>
    </row>
    <row r="417" spans="2:10" x14ac:dyDescent="0.25">
      <c r="B417" s="23">
        <v>15</v>
      </c>
      <c r="C417" s="23" t="s">
        <v>37</v>
      </c>
      <c r="D417" s="23" t="s">
        <v>33</v>
      </c>
      <c r="E417" s="41">
        <v>217.65600000000001</v>
      </c>
      <c r="G417" s="23"/>
      <c r="H417" s="23"/>
      <c r="I417" s="23"/>
      <c r="J417" s="41"/>
    </row>
    <row r="418" spans="2:10" x14ac:dyDescent="0.25">
      <c r="B418" s="23">
        <v>16</v>
      </c>
      <c r="C418" s="23" t="s">
        <v>37</v>
      </c>
      <c r="D418" s="23" t="s">
        <v>33</v>
      </c>
      <c r="E418" s="42">
        <v>301.24423999999999</v>
      </c>
      <c r="G418" s="23"/>
      <c r="H418" s="23"/>
      <c r="I418" s="23"/>
      <c r="J418" s="42"/>
    </row>
    <row r="419" spans="2:10" x14ac:dyDescent="0.25">
      <c r="B419" s="23">
        <v>17</v>
      </c>
      <c r="C419" s="23" t="s">
        <v>37</v>
      </c>
      <c r="D419" s="23" t="s">
        <v>33</v>
      </c>
      <c r="E419" s="41">
        <v>212.29852499999998</v>
      </c>
      <c r="G419" s="23"/>
      <c r="H419" s="23"/>
      <c r="I419" s="23"/>
      <c r="J419" s="41"/>
    </row>
    <row r="420" spans="2:10" x14ac:dyDescent="0.25">
      <c r="B420" s="23">
        <v>18</v>
      </c>
      <c r="C420" s="23" t="s">
        <v>37</v>
      </c>
      <c r="D420" s="23" t="s">
        <v>33</v>
      </c>
      <c r="E420" s="42">
        <v>306.67571999999996</v>
      </c>
      <c r="G420" s="23"/>
      <c r="H420" s="23"/>
      <c r="I420" s="23"/>
      <c r="J420" s="42"/>
    </row>
    <row r="421" spans="2:10" x14ac:dyDescent="0.25">
      <c r="B421" s="23">
        <v>19</v>
      </c>
      <c r="C421" s="23" t="s">
        <v>37</v>
      </c>
      <c r="D421" s="23" t="s">
        <v>33</v>
      </c>
      <c r="E421" s="41">
        <v>317.18609999999995</v>
      </c>
      <c r="G421" s="23"/>
      <c r="H421" s="23"/>
      <c r="I421" s="23"/>
      <c r="J421" s="41"/>
    </row>
    <row r="422" spans="2:10" x14ac:dyDescent="0.25">
      <c r="B422" s="23">
        <v>20</v>
      </c>
      <c r="C422" s="23" t="s">
        <v>37</v>
      </c>
      <c r="D422" s="23" t="s">
        <v>33</v>
      </c>
      <c r="E422" s="42">
        <v>322.86738000000003</v>
      </c>
      <c r="G422" s="23"/>
      <c r="H422" s="23"/>
      <c r="I422" s="23"/>
      <c r="J422" s="42"/>
    </row>
    <row r="423" spans="2:10" x14ac:dyDescent="0.25">
      <c r="B423" s="23">
        <v>21</v>
      </c>
      <c r="C423" s="23" t="s">
        <v>37</v>
      </c>
      <c r="D423" s="23" t="s">
        <v>33</v>
      </c>
      <c r="E423" s="41">
        <v>300.5958</v>
      </c>
      <c r="G423" s="23"/>
      <c r="H423" s="23"/>
      <c r="I423" s="23"/>
      <c r="J423" s="41"/>
    </row>
    <row r="424" spans="2:10" x14ac:dyDescent="0.25">
      <c r="B424" s="23">
        <v>22</v>
      </c>
      <c r="C424" s="23" t="s">
        <v>37</v>
      </c>
      <c r="D424" s="23" t="s">
        <v>33</v>
      </c>
      <c r="E424" s="42">
        <v>253.64664000000002</v>
      </c>
      <c r="G424" s="23"/>
      <c r="H424" s="23"/>
      <c r="I424" s="23"/>
      <c r="J424" s="42"/>
    </row>
    <row r="425" spans="2:10" x14ac:dyDescent="0.25">
      <c r="B425" s="23">
        <v>23</v>
      </c>
      <c r="C425" s="23" t="s">
        <v>37</v>
      </c>
      <c r="D425" s="23" t="s">
        <v>33</v>
      </c>
      <c r="E425" s="41">
        <v>214.69979999999998</v>
      </c>
      <c r="G425" s="23"/>
      <c r="H425" s="23"/>
      <c r="I425" s="23"/>
      <c r="J425" s="41"/>
    </row>
    <row r="426" spans="2:10" x14ac:dyDescent="0.25">
      <c r="B426" s="23">
        <v>24</v>
      </c>
      <c r="C426" s="23" t="s">
        <v>37</v>
      </c>
      <c r="D426" s="23" t="s">
        <v>33</v>
      </c>
      <c r="E426" s="42">
        <v>227.22726999999998</v>
      </c>
      <c r="G426" s="23"/>
      <c r="H426" s="23"/>
      <c r="I426" s="23"/>
      <c r="J426" s="42"/>
    </row>
    <row r="427" spans="2:10" x14ac:dyDescent="0.25">
      <c r="B427" s="23">
        <v>25</v>
      </c>
      <c r="C427" s="23" t="s">
        <v>37</v>
      </c>
      <c r="D427" s="23" t="s">
        <v>33</v>
      </c>
      <c r="E427" s="27">
        <v>236.43144000000001</v>
      </c>
      <c r="G427" s="23"/>
      <c r="H427" s="23"/>
      <c r="I427" s="23"/>
      <c r="J427" s="27"/>
    </row>
    <row r="428" spans="2:10" x14ac:dyDescent="0.25">
      <c r="B428" s="23">
        <v>26</v>
      </c>
      <c r="C428" s="23" t="s">
        <v>37</v>
      </c>
      <c r="D428" s="23" t="s">
        <v>33</v>
      </c>
      <c r="E428" s="28">
        <v>263.09505598504091</v>
      </c>
      <c r="G428" s="23"/>
      <c r="H428" s="23"/>
      <c r="I428" s="23"/>
      <c r="J428" s="28"/>
    </row>
    <row r="429" spans="2:10" x14ac:dyDescent="0.25">
      <c r="B429" s="23">
        <v>27</v>
      </c>
      <c r="C429" s="23" t="s">
        <v>37</v>
      </c>
      <c r="D429" s="23" t="s">
        <v>33</v>
      </c>
      <c r="E429" s="27">
        <v>256.69900000000001</v>
      </c>
      <c r="G429" s="23"/>
      <c r="H429" s="23"/>
      <c r="I429" s="23"/>
      <c r="J429" s="27"/>
    </row>
    <row r="430" spans="2:10" x14ac:dyDescent="0.25">
      <c r="B430" s="23">
        <v>28</v>
      </c>
      <c r="C430" s="23" t="s">
        <v>37</v>
      </c>
      <c r="D430" s="23" t="s">
        <v>33</v>
      </c>
      <c r="E430" s="28">
        <v>278.59157999999996</v>
      </c>
      <c r="G430" s="23"/>
      <c r="H430" s="23"/>
      <c r="I430" s="23"/>
      <c r="J430" s="28"/>
    </row>
    <row r="431" spans="2:10" x14ac:dyDescent="0.25">
      <c r="B431" s="23">
        <v>29</v>
      </c>
      <c r="C431" s="23" t="s">
        <v>37</v>
      </c>
      <c r="D431" s="23" t="s">
        <v>33</v>
      </c>
      <c r="E431" s="27">
        <v>246.32350124999991</v>
      </c>
      <c r="G431" s="23"/>
      <c r="H431" s="23"/>
      <c r="I431" s="23"/>
      <c r="J431" s="27"/>
    </row>
    <row r="432" spans="2:10" x14ac:dyDescent="0.25">
      <c r="B432" s="23">
        <v>30</v>
      </c>
      <c r="C432" s="23" t="s">
        <v>37</v>
      </c>
      <c r="D432" s="23" t="s">
        <v>33</v>
      </c>
      <c r="E432" s="28">
        <v>227.92897093510683</v>
      </c>
      <c r="G432" s="23"/>
      <c r="H432" s="23"/>
      <c r="I432" s="23"/>
      <c r="J432" s="28"/>
    </row>
    <row r="433" spans="2:10" x14ac:dyDescent="0.25">
      <c r="B433" s="23">
        <v>31</v>
      </c>
      <c r="C433" s="23" t="s">
        <v>37</v>
      </c>
      <c r="D433" s="23" t="s">
        <v>33</v>
      </c>
      <c r="E433" s="27">
        <v>220.81370000000004</v>
      </c>
      <c r="G433" s="23"/>
      <c r="H433" s="23"/>
      <c r="I433" s="23"/>
      <c r="J433" s="27"/>
    </row>
    <row r="434" spans="2:10" x14ac:dyDescent="0.25">
      <c r="B434" s="23">
        <v>32</v>
      </c>
      <c r="C434" s="23" t="s">
        <v>37</v>
      </c>
      <c r="D434" s="23" t="s">
        <v>33</v>
      </c>
      <c r="E434" s="28">
        <v>227.03035499999993</v>
      </c>
      <c r="G434" s="23"/>
      <c r="H434" s="23"/>
      <c r="I434" s="23"/>
      <c r="J434" s="28"/>
    </row>
    <row r="435" spans="2:10" x14ac:dyDescent="0.25">
      <c r="B435" s="23">
        <v>33</v>
      </c>
      <c r="C435" s="23" t="s">
        <v>37</v>
      </c>
      <c r="D435" s="23" t="s">
        <v>33</v>
      </c>
      <c r="E435" s="27">
        <v>233.89192761787518</v>
      </c>
      <c r="G435" s="23"/>
      <c r="H435" s="23"/>
      <c r="I435" s="23"/>
      <c r="J435" s="27"/>
    </row>
    <row r="436" spans="2:10" x14ac:dyDescent="0.25">
      <c r="B436" s="23">
        <v>34</v>
      </c>
      <c r="C436" s="23" t="s">
        <v>37</v>
      </c>
      <c r="D436" s="23" t="s">
        <v>33</v>
      </c>
      <c r="E436" s="28">
        <v>216</v>
      </c>
      <c r="G436" s="23"/>
      <c r="H436" s="23"/>
      <c r="I436" s="23"/>
      <c r="J436" s="28"/>
    </row>
    <row r="437" spans="2:10" x14ac:dyDescent="0.25">
      <c r="B437" s="23">
        <v>35</v>
      </c>
      <c r="C437" s="23" t="s">
        <v>37</v>
      </c>
      <c r="D437" s="23" t="s">
        <v>33</v>
      </c>
      <c r="E437" s="27">
        <v>198</v>
      </c>
      <c r="G437" s="23"/>
      <c r="H437" s="23"/>
      <c r="I437" s="23"/>
      <c r="J437" s="27"/>
    </row>
    <row r="438" spans="2:10" x14ac:dyDescent="0.25">
      <c r="B438" s="23">
        <v>36</v>
      </c>
      <c r="C438" s="23" t="s">
        <v>37</v>
      </c>
      <c r="D438" s="23" t="s">
        <v>33</v>
      </c>
      <c r="E438" s="28">
        <v>138</v>
      </c>
      <c r="G438" s="23"/>
      <c r="H438" s="23"/>
      <c r="I438" s="23"/>
      <c r="J438" s="28"/>
    </row>
    <row r="439" spans="2:10" x14ac:dyDescent="0.25">
      <c r="B439" s="23">
        <v>37</v>
      </c>
      <c r="C439" s="23" t="s">
        <v>37</v>
      </c>
      <c r="D439" s="23" t="s">
        <v>33</v>
      </c>
      <c r="E439" s="27">
        <v>184</v>
      </c>
      <c r="G439" s="23"/>
      <c r="H439" s="23"/>
      <c r="I439" s="23"/>
      <c r="J439" s="27"/>
    </row>
    <row r="440" spans="2:10" x14ac:dyDescent="0.25">
      <c r="B440" s="23">
        <v>38</v>
      </c>
      <c r="C440" s="23" t="s">
        <v>37</v>
      </c>
      <c r="D440" s="23" t="s">
        <v>33</v>
      </c>
      <c r="E440" s="29">
        <v>175</v>
      </c>
      <c r="G440" s="23"/>
      <c r="H440" s="23"/>
      <c r="I440" s="23"/>
      <c r="J440" s="29"/>
    </row>
    <row r="441" spans="2:10" x14ac:dyDescent="0.25">
      <c r="B441" s="23">
        <v>39</v>
      </c>
      <c r="C441" s="23" t="s">
        <v>37</v>
      </c>
      <c r="D441" s="23" t="s">
        <v>33</v>
      </c>
      <c r="E441" s="30">
        <v>94.250520000000009</v>
      </c>
      <c r="G441" s="23"/>
      <c r="H441" s="23"/>
      <c r="I441" s="23"/>
      <c r="J441" s="30"/>
    </row>
    <row r="442" spans="2:10" x14ac:dyDescent="0.25">
      <c r="B442" s="23">
        <v>40</v>
      </c>
      <c r="C442" s="23" t="s">
        <v>37</v>
      </c>
      <c r="D442" s="23" t="s">
        <v>33</v>
      </c>
      <c r="E442" s="32">
        <v>89.99991</v>
      </c>
      <c r="G442" s="23"/>
      <c r="H442" s="23"/>
      <c r="I442" s="23"/>
      <c r="J442" s="32"/>
    </row>
    <row r="443" spans="2:10" x14ac:dyDescent="0.25">
      <c r="B443" s="23">
        <v>1</v>
      </c>
      <c r="C443" s="23" t="s">
        <v>37</v>
      </c>
      <c r="D443" s="23" t="s">
        <v>32</v>
      </c>
      <c r="E443" s="27">
        <v>375.13934</v>
      </c>
      <c r="G443" s="23"/>
      <c r="H443" s="23"/>
      <c r="I443" s="23"/>
      <c r="J443" s="27"/>
    </row>
    <row r="444" spans="2:10" x14ac:dyDescent="0.25">
      <c r="B444" s="23">
        <v>2</v>
      </c>
      <c r="C444" s="23" t="s">
        <v>37</v>
      </c>
      <c r="D444" s="23" t="s">
        <v>32</v>
      </c>
      <c r="E444" s="28">
        <v>446.99182000000002</v>
      </c>
      <c r="G444" s="23"/>
      <c r="H444" s="23"/>
      <c r="I444" s="23"/>
      <c r="J444" s="28"/>
    </row>
    <row r="445" spans="2:10" x14ac:dyDescent="0.25">
      <c r="B445" s="23">
        <v>3</v>
      </c>
      <c r="C445" s="23" t="s">
        <v>37</v>
      </c>
      <c r="D445" s="23" t="s">
        <v>32</v>
      </c>
      <c r="E445" s="27">
        <v>506.62170000000003</v>
      </c>
      <c r="G445" s="23"/>
      <c r="H445" s="23"/>
      <c r="I445" s="23"/>
      <c r="J445" s="27"/>
    </row>
    <row r="446" spans="2:10" x14ac:dyDescent="0.25">
      <c r="B446" s="23">
        <v>4</v>
      </c>
      <c r="C446" s="23" t="s">
        <v>37</v>
      </c>
      <c r="D446" s="23" t="s">
        <v>32</v>
      </c>
      <c r="E446" s="28">
        <v>620.92456000000004</v>
      </c>
      <c r="G446" s="23"/>
      <c r="H446" s="23"/>
      <c r="I446" s="23"/>
      <c r="J446" s="28"/>
    </row>
    <row r="447" spans="2:10" x14ac:dyDescent="0.25">
      <c r="B447" s="23">
        <v>5</v>
      </c>
      <c r="C447" s="23" t="s">
        <v>37</v>
      </c>
      <c r="D447" s="23" t="s">
        <v>32</v>
      </c>
      <c r="E447" s="27">
        <v>563.62249999999995</v>
      </c>
      <c r="G447" s="23"/>
      <c r="H447" s="23"/>
      <c r="I447" s="23"/>
      <c r="J447" s="27"/>
    </row>
    <row r="448" spans="2:10" x14ac:dyDescent="0.25">
      <c r="B448" s="23">
        <v>6</v>
      </c>
      <c r="C448" s="23" t="s">
        <v>37</v>
      </c>
      <c r="D448" s="23" t="s">
        <v>32</v>
      </c>
      <c r="E448" s="28">
        <v>743.65374999999995</v>
      </c>
      <c r="G448" s="23"/>
      <c r="H448" s="23"/>
      <c r="I448" s="23"/>
      <c r="J448" s="28"/>
    </row>
    <row r="449" spans="2:10" x14ac:dyDescent="0.25">
      <c r="B449" s="23">
        <v>7</v>
      </c>
      <c r="C449" s="23" t="s">
        <v>37</v>
      </c>
      <c r="D449" s="23" t="s">
        <v>32</v>
      </c>
      <c r="E449" s="27">
        <v>647.01780000000008</v>
      </c>
      <c r="G449" s="23"/>
      <c r="H449" s="23"/>
      <c r="I449" s="23"/>
      <c r="J449" s="27"/>
    </row>
    <row r="450" spans="2:10" x14ac:dyDescent="0.25">
      <c r="B450" s="23">
        <v>8</v>
      </c>
      <c r="C450" s="23" t="s">
        <v>37</v>
      </c>
      <c r="D450" s="23" t="s">
        <v>32</v>
      </c>
      <c r="E450" s="28">
        <v>438.82684999999998</v>
      </c>
      <c r="G450" s="23"/>
      <c r="H450" s="23"/>
      <c r="I450" s="23"/>
      <c r="J450" s="28"/>
    </row>
    <row r="451" spans="2:10" x14ac:dyDescent="0.25">
      <c r="B451" s="23">
        <v>9</v>
      </c>
      <c r="C451" s="23" t="s">
        <v>37</v>
      </c>
      <c r="D451" s="23" t="s">
        <v>32</v>
      </c>
      <c r="E451" s="27">
        <v>597.10464000000002</v>
      </c>
      <c r="G451" s="23"/>
      <c r="H451" s="23"/>
      <c r="I451" s="23"/>
      <c r="J451" s="27"/>
    </row>
    <row r="452" spans="2:10" x14ac:dyDescent="0.25">
      <c r="B452" s="23">
        <v>10</v>
      </c>
      <c r="C452" s="23" t="s">
        <v>37</v>
      </c>
      <c r="D452" s="23" t="s">
        <v>32</v>
      </c>
      <c r="E452" s="28">
        <v>677.40737999999999</v>
      </c>
      <c r="G452" s="23"/>
      <c r="H452" s="23"/>
      <c r="I452" s="23"/>
      <c r="J452" s="28"/>
    </row>
    <row r="453" spans="2:10" x14ac:dyDescent="0.25">
      <c r="B453" s="23">
        <v>11</v>
      </c>
      <c r="C453" s="23" t="s">
        <v>37</v>
      </c>
      <c r="D453" s="23" t="s">
        <v>32</v>
      </c>
      <c r="E453" s="27">
        <v>808.82041500000003</v>
      </c>
      <c r="G453" s="23"/>
      <c r="H453" s="23"/>
      <c r="I453" s="23"/>
      <c r="J453" s="27"/>
    </row>
    <row r="454" spans="2:10" x14ac:dyDescent="0.25">
      <c r="B454" s="23">
        <v>12</v>
      </c>
      <c r="C454" s="23" t="s">
        <v>37</v>
      </c>
      <c r="D454" s="23" t="s">
        <v>32</v>
      </c>
      <c r="E454" s="28">
        <v>717.88139999999999</v>
      </c>
      <c r="G454" s="23"/>
      <c r="H454" s="23"/>
      <c r="I454" s="23"/>
      <c r="J454" s="28"/>
    </row>
    <row r="455" spans="2:10" x14ac:dyDescent="0.25">
      <c r="B455" s="23">
        <v>13</v>
      </c>
      <c r="C455" s="23" t="s">
        <v>37</v>
      </c>
      <c r="D455" s="23" t="s">
        <v>32</v>
      </c>
      <c r="E455" s="27">
        <v>715.28183999999999</v>
      </c>
      <c r="G455" s="23"/>
      <c r="H455" s="23"/>
      <c r="I455" s="23"/>
      <c r="J455" s="27"/>
    </row>
    <row r="456" spans="2:10" x14ac:dyDescent="0.25">
      <c r="B456" s="23">
        <v>14</v>
      </c>
      <c r="C456" s="23" t="s">
        <v>37</v>
      </c>
      <c r="D456" s="23" t="s">
        <v>32</v>
      </c>
      <c r="E456" s="28">
        <v>718.06584499999997</v>
      </c>
      <c r="G456" s="23"/>
      <c r="H456" s="23"/>
      <c r="I456" s="23"/>
      <c r="J456" s="28"/>
    </row>
    <row r="457" spans="2:10" x14ac:dyDescent="0.25">
      <c r="B457" s="23">
        <v>15</v>
      </c>
      <c r="C457" s="23" t="s">
        <v>37</v>
      </c>
      <c r="D457" s="23" t="s">
        <v>32</v>
      </c>
      <c r="E457" s="27">
        <v>634.83000000000004</v>
      </c>
      <c r="G457" s="23"/>
      <c r="H457" s="23"/>
      <c r="I457" s="23"/>
      <c r="J457" s="27"/>
    </row>
    <row r="458" spans="2:10" x14ac:dyDescent="0.25">
      <c r="B458" s="23">
        <v>16</v>
      </c>
      <c r="C458" s="23" t="s">
        <v>37</v>
      </c>
      <c r="D458" s="23" t="s">
        <v>32</v>
      </c>
      <c r="E458" s="28">
        <v>622.66751999999997</v>
      </c>
      <c r="G458" s="23"/>
      <c r="H458" s="23"/>
      <c r="I458" s="23"/>
      <c r="J458" s="28"/>
    </row>
    <row r="459" spans="2:10" x14ac:dyDescent="0.25">
      <c r="B459" s="23">
        <v>17</v>
      </c>
      <c r="C459" s="23" t="s">
        <v>37</v>
      </c>
      <c r="D459" s="23" t="s">
        <v>32</v>
      </c>
      <c r="E459" s="27">
        <v>576.00374999999997</v>
      </c>
      <c r="G459" s="23"/>
      <c r="H459" s="23"/>
      <c r="I459" s="23"/>
      <c r="J459" s="27"/>
    </row>
    <row r="460" spans="2:10" x14ac:dyDescent="0.25">
      <c r="B460" s="23">
        <v>18</v>
      </c>
      <c r="C460" s="23" t="s">
        <v>37</v>
      </c>
      <c r="D460" s="23" t="s">
        <v>32</v>
      </c>
      <c r="E460" s="28">
        <v>642.51184499999999</v>
      </c>
      <c r="G460" s="23"/>
      <c r="H460" s="23"/>
      <c r="I460" s="23"/>
      <c r="J460" s="28"/>
    </row>
    <row r="461" spans="2:10" x14ac:dyDescent="0.25">
      <c r="B461" s="23">
        <v>19</v>
      </c>
      <c r="C461" s="23" t="s">
        <v>37</v>
      </c>
      <c r="D461" s="23" t="s">
        <v>32</v>
      </c>
      <c r="E461" s="27">
        <v>751.21007499999996</v>
      </c>
      <c r="G461" s="23"/>
      <c r="H461" s="23"/>
      <c r="I461" s="23"/>
      <c r="J461" s="27"/>
    </row>
    <row r="462" spans="2:10" x14ac:dyDescent="0.25">
      <c r="B462" s="23">
        <v>20</v>
      </c>
      <c r="C462" s="23" t="s">
        <v>37</v>
      </c>
      <c r="D462" s="23" t="s">
        <v>32</v>
      </c>
      <c r="E462" s="28">
        <v>722.97576000000004</v>
      </c>
      <c r="G462" s="23"/>
      <c r="H462" s="23"/>
      <c r="I462" s="23"/>
      <c r="J462" s="28"/>
    </row>
    <row r="463" spans="2:10" x14ac:dyDescent="0.25">
      <c r="B463" s="23">
        <v>21</v>
      </c>
      <c r="C463" s="23" t="s">
        <v>37</v>
      </c>
      <c r="D463" s="23" t="s">
        <v>32</v>
      </c>
      <c r="E463" s="27">
        <v>679.48631999999998</v>
      </c>
      <c r="G463" s="23"/>
      <c r="H463" s="23"/>
      <c r="I463" s="23"/>
      <c r="J463" s="27"/>
    </row>
    <row r="464" spans="2:10" x14ac:dyDescent="0.25">
      <c r="B464" s="23">
        <v>22</v>
      </c>
      <c r="C464" s="23" t="s">
        <v>37</v>
      </c>
      <c r="D464" s="23" t="s">
        <v>32</v>
      </c>
      <c r="E464" s="28">
        <v>687.95328000000006</v>
      </c>
      <c r="G464" s="23"/>
      <c r="H464" s="23"/>
      <c r="I464" s="23"/>
      <c r="J464" s="28"/>
    </row>
    <row r="465" spans="2:10" x14ac:dyDescent="0.25">
      <c r="B465" s="23">
        <v>23</v>
      </c>
      <c r="C465" s="23" t="s">
        <v>37</v>
      </c>
      <c r="D465" s="23" t="s">
        <v>32</v>
      </c>
      <c r="E465" s="27">
        <v>736.11360000000002</v>
      </c>
      <c r="G465" s="23"/>
      <c r="H465" s="23"/>
      <c r="I465" s="23"/>
      <c r="J465" s="27"/>
    </row>
    <row r="466" spans="2:10" x14ac:dyDescent="0.25">
      <c r="B466" s="23">
        <v>24</v>
      </c>
      <c r="C466" s="23" t="s">
        <v>37</v>
      </c>
      <c r="D466" s="23" t="s">
        <v>32</v>
      </c>
      <c r="E466" s="28">
        <v>726.35342500000002</v>
      </c>
      <c r="G466" s="23"/>
      <c r="H466" s="23"/>
      <c r="I466" s="23"/>
      <c r="J466" s="28"/>
    </row>
    <row r="467" spans="2:10" x14ac:dyDescent="0.25">
      <c r="B467" s="23">
        <v>25</v>
      </c>
      <c r="C467" s="23" t="s">
        <v>37</v>
      </c>
      <c r="D467" s="23" t="s">
        <v>32</v>
      </c>
      <c r="E467" s="27">
        <v>718.62714000000005</v>
      </c>
      <c r="G467" s="23"/>
      <c r="H467" s="23"/>
      <c r="I467" s="23"/>
      <c r="J467" s="27"/>
    </row>
    <row r="468" spans="2:10" x14ac:dyDescent="0.25">
      <c r="B468" s="23">
        <v>26</v>
      </c>
      <c r="C468" s="23" t="s">
        <v>37</v>
      </c>
      <c r="D468" s="23" t="s">
        <v>32</v>
      </c>
      <c r="E468" s="28">
        <v>755.45567284761319</v>
      </c>
      <c r="G468" s="23"/>
      <c r="H468" s="23"/>
      <c r="I468" s="23"/>
      <c r="J468" s="28"/>
    </row>
    <row r="469" spans="2:10" x14ac:dyDescent="0.25">
      <c r="B469" s="23">
        <v>27</v>
      </c>
      <c r="C469" s="23" t="s">
        <v>37</v>
      </c>
      <c r="D469" s="23" t="s">
        <v>32</v>
      </c>
      <c r="E469" s="27">
        <v>718.622345</v>
      </c>
      <c r="G469" s="23"/>
      <c r="H469" s="23"/>
      <c r="I469" s="23"/>
      <c r="J469" s="27"/>
    </row>
    <row r="470" spans="2:10" x14ac:dyDescent="0.25">
      <c r="B470" s="23">
        <v>28</v>
      </c>
      <c r="C470" s="23" t="s">
        <v>37</v>
      </c>
      <c r="D470" s="23" t="s">
        <v>32</v>
      </c>
      <c r="E470" s="28">
        <v>735.48577</v>
      </c>
      <c r="G470" s="23"/>
      <c r="H470" s="23"/>
      <c r="I470" s="23"/>
      <c r="J470" s="28"/>
    </row>
    <row r="471" spans="2:10" x14ac:dyDescent="0.25">
      <c r="B471" s="23">
        <v>29</v>
      </c>
      <c r="C471" s="23" t="s">
        <v>37</v>
      </c>
      <c r="D471" s="23" t="s">
        <v>32</v>
      </c>
      <c r="E471" s="27">
        <v>669.12438374999988</v>
      </c>
      <c r="G471" s="23"/>
      <c r="H471" s="23"/>
      <c r="I471" s="23"/>
      <c r="J471" s="27"/>
    </row>
    <row r="472" spans="2:10" x14ac:dyDescent="0.25">
      <c r="B472" s="23">
        <v>30</v>
      </c>
      <c r="C472" s="23" t="s">
        <v>37</v>
      </c>
      <c r="D472" s="23" t="s">
        <v>32</v>
      </c>
      <c r="E472" s="28">
        <v>635.91663314201674</v>
      </c>
      <c r="G472" s="23"/>
      <c r="H472" s="23"/>
      <c r="I472" s="23"/>
      <c r="J472" s="28"/>
    </row>
    <row r="473" spans="2:10" x14ac:dyDescent="0.25">
      <c r="B473" s="23">
        <v>31</v>
      </c>
      <c r="C473" s="23" t="s">
        <v>37</v>
      </c>
      <c r="D473" s="23" t="s">
        <v>32</v>
      </c>
      <c r="E473" s="27">
        <v>616.5677162500001</v>
      </c>
      <c r="G473" s="23"/>
      <c r="H473" s="23"/>
      <c r="I473" s="23"/>
      <c r="J473" s="27"/>
    </row>
    <row r="474" spans="2:10" x14ac:dyDescent="0.25">
      <c r="B474" s="23">
        <v>32</v>
      </c>
      <c r="C474" s="23" t="s">
        <v>37</v>
      </c>
      <c r="D474" s="23" t="s">
        <v>32</v>
      </c>
      <c r="E474" s="28">
        <v>632.09882999999991</v>
      </c>
      <c r="G474" s="23"/>
      <c r="H474" s="23"/>
      <c r="I474" s="23"/>
      <c r="J474" s="28"/>
    </row>
    <row r="475" spans="2:10" x14ac:dyDescent="0.25">
      <c r="B475" s="23">
        <v>33</v>
      </c>
      <c r="C475" s="23" t="s">
        <v>37</v>
      </c>
      <c r="D475" s="23" t="s">
        <v>32</v>
      </c>
      <c r="E475" s="27">
        <v>651.20284815527691</v>
      </c>
      <c r="G475" s="23"/>
      <c r="H475" s="23"/>
      <c r="I475" s="23"/>
      <c r="J475" s="27"/>
    </row>
    <row r="476" spans="2:10" x14ac:dyDescent="0.25">
      <c r="B476" s="23">
        <v>34</v>
      </c>
      <c r="C476" s="23" t="s">
        <v>37</v>
      </c>
      <c r="D476" s="23" t="s">
        <v>32</v>
      </c>
      <c r="E476" s="28">
        <v>697</v>
      </c>
      <c r="G476" s="23"/>
      <c r="H476" s="23"/>
      <c r="I476" s="23"/>
      <c r="J476" s="28"/>
    </row>
    <row r="477" spans="2:10" x14ac:dyDescent="0.25">
      <c r="B477" s="23">
        <v>35</v>
      </c>
      <c r="C477" s="23" t="s">
        <v>37</v>
      </c>
      <c r="D477" s="23" t="s">
        <v>32</v>
      </c>
      <c r="E477" s="27">
        <v>581</v>
      </c>
      <c r="G477" s="23"/>
      <c r="H477" s="23"/>
      <c r="I477" s="23"/>
      <c r="J477" s="27"/>
    </row>
    <row r="478" spans="2:10" x14ac:dyDescent="0.25">
      <c r="B478" s="23">
        <v>36</v>
      </c>
      <c r="C478" s="23" t="s">
        <v>37</v>
      </c>
      <c r="D478" s="23" t="s">
        <v>32</v>
      </c>
      <c r="E478" s="28">
        <v>538</v>
      </c>
      <c r="G478" s="23"/>
      <c r="H478" s="23"/>
      <c r="I478" s="23"/>
      <c r="J478" s="28"/>
    </row>
    <row r="479" spans="2:10" x14ac:dyDescent="0.25">
      <c r="B479" s="23">
        <v>37</v>
      </c>
      <c r="C479" s="23" t="s">
        <v>37</v>
      </c>
      <c r="D479" s="23" t="s">
        <v>32</v>
      </c>
      <c r="E479" s="27">
        <v>601</v>
      </c>
      <c r="G479" s="23"/>
      <c r="H479" s="23"/>
      <c r="I479" s="23"/>
      <c r="J479" s="27"/>
    </row>
    <row r="480" spans="2:10" x14ac:dyDescent="0.25">
      <c r="B480" s="23">
        <v>38</v>
      </c>
      <c r="C480" s="23" t="s">
        <v>37</v>
      </c>
      <c r="D480" s="23" t="s">
        <v>32</v>
      </c>
      <c r="E480" s="29">
        <v>731</v>
      </c>
      <c r="G480" s="23"/>
      <c r="H480" s="23"/>
      <c r="I480" s="23"/>
      <c r="J480" s="29"/>
    </row>
    <row r="481" spans="2:10" x14ac:dyDescent="0.25">
      <c r="B481" s="23">
        <v>39</v>
      </c>
      <c r="C481" s="23" t="s">
        <v>37</v>
      </c>
      <c r="D481" s="23" t="s">
        <v>32</v>
      </c>
      <c r="E481" s="30">
        <v>479.23147999999998</v>
      </c>
      <c r="G481" s="23"/>
      <c r="H481" s="23"/>
      <c r="I481" s="23"/>
      <c r="J481" s="30"/>
    </row>
    <row r="482" spans="2:10" x14ac:dyDescent="0.25">
      <c r="B482" s="23">
        <v>40</v>
      </c>
      <c r="C482" s="23" t="s">
        <v>37</v>
      </c>
      <c r="D482" s="23" t="s">
        <v>32</v>
      </c>
      <c r="E482" s="32">
        <v>457.61858999999998</v>
      </c>
      <c r="G482" s="23"/>
      <c r="H482" s="23"/>
      <c r="I482" s="23"/>
      <c r="J482" s="32"/>
    </row>
    <row r="483" spans="2:10" hidden="1" x14ac:dyDescent="0.25">
      <c r="B483" s="23">
        <v>1</v>
      </c>
      <c r="C483" s="23" t="s">
        <v>38</v>
      </c>
      <c r="D483" s="23" t="s">
        <v>31</v>
      </c>
      <c r="E483" s="27">
        <v>3384.7655150000005</v>
      </c>
      <c r="G483" s="23"/>
      <c r="H483" s="23"/>
      <c r="I483" s="23"/>
      <c r="J483" s="27"/>
    </row>
    <row r="484" spans="2:10" hidden="1" x14ac:dyDescent="0.25">
      <c r="B484" s="23">
        <v>2</v>
      </c>
      <c r="C484" s="23" t="s">
        <v>38</v>
      </c>
      <c r="D484" s="23" t="s">
        <v>31</v>
      </c>
      <c r="E484" s="28">
        <v>3057.4242425000002</v>
      </c>
      <c r="G484" s="23"/>
      <c r="H484" s="23"/>
      <c r="I484" s="23"/>
      <c r="J484" s="28"/>
    </row>
    <row r="485" spans="2:10" hidden="1" x14ac:dyDescent="0.25">
      <c r="B485" s="23">
        <v>3</v>
      </c>
      <c r="C485" s="23" t="s">
        <v>38</v>
      </c>
      <c r="D485" s="23" t="s">
        <v>31</v>
      </c>
      <c r="E485" s="27">
        <v>3136.968973</v>
      </c>
      <c r="G485" s="23"/>
      <c r="H485" s="23"/>
      <c r="I485" s="23"/>
      <c r="J485" s="27"/>
    </row>
    <row r="486" spans="2:10" hidden="1" x14ac:dyDescent="0.25">
      <c r="B486" s="23">
        <v>4</v>
      </c>
      <c r="C486" s="23" t="s">
        <v>38</v>
      </c>
      <c r="D486" s="23" t="s">
        <v>31</v>
      </c>
      <c r="E486" s="28">
        <v>3797.8660660000005</v>
      </c>
      <c r="G486" s="23"/>
      <c r="H486" s="23"/>
      <c r="I486" s="23"/>
      <c r="J486" s="28"/>
    </row>
    <row r="487" spans="2:10" hidden="1" x14ac:dyDescent="0.25">
      <c r="B487" s="23">
        <v>5</v>
      </c>
      <c r="C487" s="23" t="s">
        <v>38</v>
      </c>
      <c r="D487" s="23" t="s">
        <v>31</v>
      </c>
      <c r="E487" s="27">
        <v>3316.7626899999991</v>
      </c>
      <c r="G487" s="23"/>
      <c r="H487" s="23"/>
      <c r="I487" s="23"/>
      <c r="J487" s="27"/>
    </row>
    <row r="488" spans="2:10" hidden="1" x14ac:dyDescent="0.25">
      <c r="B488" s="23">
        <v>6</v>
      </c>
      <c r="C488" s="23" t="s">
        <v>38</v>
      </c>
      <c r="D488" s="23" t="s">
        <v>31</v>
      </c>
      <c r="E488" s="28">
        <v>3322.0457525000002</v>
      </c>
      <c r="G488" s="23"/>
      <c r="H488" s="23"/>
      <c r="I488" s="23"/>
      <c r="J488" s="28"/>
    </row>
    <row r="489" spans="2:10" hidden="1" x14ac:dyDescent="0.25">
      <c r="B489" s="23">
        <v>7</v>
      </c>
      <c r="C489" s="23" t="s">
        <v>38</v>
      </c>
      <c r="D489" s="23" t="s">
        <v>31</v>
      </c>
      <c r="E489" s="27">
        <v>3657.9659299999994</v>
      </c>
      <c r="G489" s="23"/>
      <c r="H489" s="23"/>
      <c r="I489" s="23"/>
      <c r="J489" s="27"/>
    </row>
    <row r="490" spans="2:10" hidden="1" x14ac:dyDescent="0.25">
      <c r="B490" s="23">
        <v>8</v>
      </c>
      <c r="C490" s="23" t="s">
        <v>38</v>
      </c>
      <c r="D490" s="23" t="s">
        <v>31</v>
      </c>
      <c r="E490" s="28">
        <v>3541.5660880000005</v>
      </c>
      <c r="G490" s="23"/>
      <c r="H490" s="23"/>
      <c r="I490" s="23"/>
      <c r="J490" s="28"/>
    </row>
    <row r="491" spans="2:10" hidden="1" x14ac:dyDescent="0.25">
      <c r="B491" s="23">
        <v>9</v>
      </c>
      <c r="C491" s="23" t="s">
        <v>38</v>
      </c>
      <c r="D491" s="23" t="s">
        <v>31</v>
      </c>
      <c r="E491" s="27">
        <v>3686.0398325000001</v>
      </c>
      <c r="G491" s="23"/>
      <c r="H491" s="23"/>
      <c r="I491" s="23"/>
      <c r="J491" s="27"/>
    </row>
    <row r="492" spans="2:10" hidden="1" x14ac:dyDescent="0.25">
      <c r="B492" s="23">
        <v>10</v>
      </c>
      <c r="C492" s="23" t="s">
        <v>38</v>
      </c>
      <c r="D492" s="23" t="s">
        <v>31</v>
      </c>
      <c r="E492" s="28">
        <v>4084.5088820000014</v>
      </c>
      <c r="G492" s="23"/>
      <c r="H492" s="23"/>
      <c r="I492" s="23"/>
      <c r="J492" s="28"/>
    </row>
    <row r="493" spans="2:10" hidden="1" x14ac:dyDescent="0.25">
      <c r="B493" s="23">
        <v>11</v>
      </c>
      <c r="C493" s="23" t="s">
        <v>38</v>
      </c>
      <c r="D493" s="23" t="s">
        <v>31</v>
      </c>
      <c r="E493" s="27">
        <v>4029.9105649999988</v>
      </c>
      <c r="G493" s="23"/>
      <c r="H493" s="23"/>
      <c r="I493" s="23"/>
      <c r="J493" s="27"/>
    </row>
    <row r="494" spans="2:10" hidden="1" x14ac:dyDescent="0.25">
      <c r="B494" s="23">
        <v>12</v>
      </c>
      <c r="C494" s="23" t="s">
        <v>38</v>
      </c>
      <c r="D494" s="23" t="s">
        <v>31</v>
      </c>
      <c r="E494" s="28">
        <v>3410.1301509999994</v>
      </c>
      <c r="G494" s="23"/>
      <c r="H494" s="23"/>
      <c r="I494" s="23"/>
      <c r="J494" s="28"/>
    </row>
    <row r="495" spans="2:10" hidden="1" x14ac:dyDescent="0.25">
      <c r="B495" s="23">
        <v>13</v>
      </c>
      <c r="C495" s="23" t="s">
        <v>38</v>
      </c>
      <c r="D495" s="23" t="s">
        <v>31</v>
      </c>
      <c r="E495" s="27">
        <v>3183.3871779999995</v>
      </c>
      <c r="G495" s="23"/>
      <c r="H495" s="23"/>
      <c r="I495" s="23"/>
      <c r="J495" s="27"/>
    </row>
    <row r="496" spans="2:10" hidden="1" x14ac:dyDescent="0.25">
      <c r="B496" s="23">
        <v>14</v>
      </c>
      <c r="C496" s="23" t="s">
        <v>38</v>
      </c>
      <c r="D496" s="23" t="s">
        <v>31</v>
      </c>
      <c r="E496" s="28">
        <v>3376.9598180000003</v>
      </c>
      <c r="G496" s="23"/>
      <c r="H496" s="23"/>
      <c r="I496" s="23"/>
      <c r="J496" s="28"/>
    </row>
    <row r="497" spans="2:10" hidden="1" x14ac:dyDescent="0.25">
      <c r="B497" s="23">
        <v>15</v>
      </c>
      <c r="C497" s="23" t="s">
        <v>38</v>
      </c>
      <c r="D497" s="23" t="s">
        <v>31</v>
      </c>
      <c r="E497" s="27">
        <v>3675.3957099999998</v>
      </c>
      <c r="G497" s="23"/>
      <c r="H497" s="23"/>
      <c r="I497" s="23"/>
      <c r="J497" s="27"/>
    </row>
    <row r="498" spans="2:10" hidden="1" x14ac:dyDescent="0.25">
      <c r="B498" s="23">
        <v>16</v>
      </c>
      <c r="C498" s="23" t="s">
        <v>38</v>
      </c>
      <c r="D498" s="23" t="s">
        <v>31</v>
      </c>
      <c r="E498" s="28">
        <v>3518.0351700000001</v>
      </c>
      <c r="G498" s="23"/>
      <c r="H498" s="23"/>
      <c r="I498" s="23"/>
      <c r="J498" s="28"/>
    </row>
    <row r="499" spans="2:10" hidden="1" x14ac:dyDescent="0.25">
      <c r="B499" s="23">
        <v>17</v>
      </c>
      <c r="C499" s="23" t="s">
        <v>38</v>
      </c>
      <c r="D499" s="23" t="s">
        <v>31</v>
      </c>
      <c r="E499" s="27">
        <v>3971.2620480000005</v>
      </c>
      <c r="G499" s="23"/>
      <c r="H499" s="23"/>
      <c r="I499" s="23"/>
      <c r="J499" s="27"/>
    </row>
    <row r="500" spans="2:10" hidden="1" x14ac:dyDescent="0.25">
      <c r="B500" s="23">
        <v>18</v>
      </c>
      <c r="C500" s="23" t="s">
        <v>38</v>
      </c>
      <c r="D500" s="23" t="s">
        <v>31</v>
      </c>
      <c r="E500" s="28">
        <v>3777.6735349999999</v>
      </c>
      <c r="G500" s="23"/>
      <c r="H500" s="23"/>
      <c r="I500" s="23"/>
      <c r="J500" s="28"/>
    </row>
    <row r="501" spans="2:10" hidden="1" x14ac:dyDescent="0.25">
      <c r="B501" s="23">
        <v>19</v>
      </c>
      <c r="C501" s="23" t="s">
        <v>38</v>
      </c>
      <c r="D501" s="23" t="s">
        <v>31</v>
      </c>
      <c r="E501" s="27">
        <v>3627.6207258000004</v>
      </c>
      <c r="G501" s="23"/>
      <c r="H501" s="23"/>
      <c r="I501" s="23"/>
      <c r="J501" s="27"/>
    </row>
    <row r="502" spans="2:10" hidden="1" x14ac:dyDescent="0.25">
      <c r="B502" s="23">
        <v>20</v>
      </c>
      <c r="C502" s="23" t="s">
        <v>38</v>
      </c>
      <c r="D502" s="23" t="s">
        <v>31</v>
      </c>
      <c r="E502" s="28">
        <v>3990.1043180000006</v>
      </c>
      <c r="G502" s="23"/>
      <c r="H502" s="23"/>
      <c r="I502" s="23"/>
      <c r="J502" s="28"/>
    </row>
    <row r="503" spans="2:10" hidden="1" x14ac:dyDescent="0.25">
      <c r="B503" s="23">
        <v>21</v>
      </c>
      <c r="C503" s="23" t="s">
        <v>38</v>
      </c>
      <c r="D503" s="23" t="s">
        <v>31</v>
      </c>
      <c r="E503" s="27">
        <v>4242.7232829999994</v>
      </c>
      <c r="G503" s="23"/>
      <c r="H503" s="23"/>
      <c r="I503" s="23"/>
      <c r="J503" s="27"/>
    </row>
    <row r="504" spans="2:10" hidden="1" x14ac:dyDescent="0.25">
      <c r="B504" s="23">
        <v>22</v>
      </c>
      <c r="C504" s="23" t="s">
        <v>38</v>
      </c>
      <c r="D504" s="23" t="s">
        <v>31</v>
      </c>
      <c r="E504" s="28">
        <v>4106.4979199999998</v>
      </c>
      <c r="G504" s="23"/>
      <c r="H504" s="23"/>
      <c r="I504" s="23"/>
      <c r="J504" s="28"/>
    </row>
    <row r="505" spans="2:10" hidden="1" x14ac:dyDescent="0.25">
      <c r="B505" s="23">
        <v>23</v>
      </c>
      <c r="C505" s="23" t="s">
        <v>38</v>
      </c>
      <c r="D505" s="23" t="s">
        <v>31</v>
      </c>
      <c r="E505" s="27">
        <v>4445.1480174999997</v>
      </c>
      <c r="G505" s="23"/>
      <c r="H505" s="23"/>
      <c r="I505" s="23"/>
      <c r="J505" s="27"/>
    </row>
    <row r="506" spans="2:10" hidden="1" x14ac:dyDescent="0.25">
      <c r="B506" s="23">
        <v>24</v>
      </c>
      <c r="C506" s="23" t="s">
        <v>38</v>
      </c>
      <c r="D506" s="23" t="s">
        <v>31</v>
      </c>
      <c r="E506" s="28">
        <v>5240.1466049999999</v>
      </c>
      <c r="G506" s="23"/>
      <c r="H506" s="23"/>
      <c r="I506" s="23"/>
      <c r="J506" s="28"/>
    </row>
    <row r="507" spans="2:10" hidden="1" x14ac:dyDescent="0.25">
      <c r="B507" s="23">
        <v>25</v>
      </c>
      <c r="C507" s="23" t="s">
        <v>38</v>
      </c>
      <c r="D507" s="23" t="s">
        <v>31</v>
      </c>
      <c r="E507" s="27">
        <v>4751.7077200000003</v>
      </c>
      <c r="G507" s="23"/>
      <c r="H507" s="23"/>
      <c r="I507" s="23"/>
      <c r="J507" s="27"/>
    </row>
    <row r="508" spans="2:10" hidden="1" x14ac:dyDescent="0.25">
      <c r="B508" s="23">
        <v>26</v>
      </c>
      <c r="C508" s="23" t="s">
        <v>38</v>
      </c>
      <c r="D508" s="23" t="s">
        <v>31</v>
      </c>
      <c r="E508" s="28">
        <v>4588.2422589550624</v>
      </c>
      <c r="G508" s="23"/>
      <c r="H508" s="23"/>
      <c r="I508" s="23"/>
      <c r="J508" s="28"/>
    </row>
    <row r="509" spans="2:10" hidden="1" x14ac:dyDescent="0.25">
      <c r="B509" s="23">
        <v>27</v>
      </c>
      <c r="C509" s="23" t="s">
        <v>38</v>
      </c>
      <c r="D509" s="23" t="s">
        <v>31</v>
      </c>
      <c r="E509" s="27">
        <v>4816.4106099999999</v>
      </c>
      <c r="G509" s="23"/>
      <c r="H509" s="23"/>
      <c r="I509" s="23"/>
      <c r="J509" s="27"/>
    </row>
    <row r="510" spans="2:10" hidden="1" x14ac:dyDescent="0.25">
      <c r="B510" s="23">
        <v>28</v>
      </c>
      <c r="C510" s="23" t="s">
        <v>38</v>
      </c>
      <c r="D510" s="23" t="s">
        <v>31</v>
      </c>
      <c r="E510" s="28">
        <v>4837.2825550000007</v>
      </c>
      <c r="G510" s="23"/>
      <c r="H510" s="23"/>
      <c r="I510" s="23"/>
      <c r="J510" s="28"/>
    </row>
    <row r="511" spans="2:10" hidden="1" x14ac:dyDescent="0.25">
      <c r="B511" s="23">
        <v>29</v>
      </c>
      <c r="C511" s="23" t="s">
        <v>38</v>
      </c>
      <c r="D511" s="23" t="s">
        <v>31</v>
      </c>
      <c r="E511" s="27">
        <v>5211.9134649999996</v>
      </c>
      <c r="G511" s="23"/>
      <c r="H511" s="23"/>
      <c r="I511" s="23"/>
      <c r="J511" s="27"/>
    </row>
    <row r="512" spans="2:10" hidden="1" x14ac:dyDescent="0.25">
      <c r="B512" s="23">
        <v>30</v>
      </c>
      <c r="C512" s="23" t="s">
        <v>38</v>
      </c>
      <c r="D512" s="23" t="s">
        <v>31</v>
      </c>
      <c r="E512" s="28">
        <v>4807.6887400012783</v>
      </c>
      <c r="G512" s="23"/>
      <c r="H512" s="23"/>
      <c r="I512" s="23"/>
      <c r="J512" s="28"/>
    </row>
    <row r="513" spans="2:10" hidden="1" x14ac:dyDescent="0.25">
      <c r="B513" s="23">
        <v>31</v>
      </c>
      <c r="C513" s="23" t="s">
        <v>38</v>
      </c>
      <c r="D513" s="23" t="s">
        <v>31</v>
      </c>
      <c r="E513" s="27">
        <v>4804.6953695000011</v>
      </c>
      <c r="G513" s="23"/>
      <c r="H513" s="23"/>
      <c r="I513" s="23"/>
      <c r="J513" s="27"/>
    </row>
    <row r="514" spans="2:10" hidden="1" x14ac:dyDescent="0.25">
      <c r="B514" s="23">
        <v>32</v>
      </c>
      <c r="C514" s="23" t="s">
        <v>38</v>
      </c>
      <c r="D514" s="23" t="s">
        <v>31</v>
      </c>
      <c r="E514" s="28">
        <v>4875.3092099999994</v>
      </c>
      <c r="G514" s="23"/>
      <c r="H514" s="23"/>
      <c r="I514" s="23"/>
      <c r="J514" s="28"/>
    </row>
    <row r="515" spans="2:10" hidden="1" x14ac:dyDescent="0.25">
      <c r="B515" s="23">
        <v>33</v>
      </c>
      <c r="C515" s="23" t="s">
        <v>38</v>
      </c>
      <c r="D515" s="23" t="s">
        <v>31</v>
      </c>
      <c r="E515" s="27">
        <v>4915.7593722107831</v>
      </c>
      <c r="G515" s="23"/>
      <c r="H515" s="23"/>
      <c r="I515" s="23"/>
      <c r="J515" s="27"/>
    </row>
    <row r="516" spans="2:10" hidden="1" x14ac:dyDescent="0.25">
      <c r="B516" s="23">
        <v>34</v>
      </c>
      <c r="C516" s="23" t="s">
        <v>38</v>
      </c>
      <c r="D516" s="23" t="s">
        <v>31</v>
      </c>
      <c r="E516" s="33">
        <v>5620.7475570444449</v>
      </c>
      <c r="G516" s="23"/>
      <c r="H516" s="23"/>
      <c r="I516" s="23"/>
      <c r="J516" s="33"/>
    </row>
    <row r="517" spans="2:10" hidden="1" x14ac:dyDescent="0.25">
      <c r="B517" s="23">
        <v>35</v>
      </c>
      <c r="C517" s="23" t="s">
        <v>38</v>
      </c>
      <c r="D517" s="23" t="s">
        <v>31</v>
      </c>
      <c r="E517" s="34">
        <v>5020.5</v>
      </c>
      <c r="G517" s="23"/>
      <c r="H517" s="23"/>
      <c r="I517" s="23"/>
      <c r="J517" s="34"/>
    </row>
    <row r="518" spans="2:10" hidden="1" x14ac:dyDescent="0.25">
      <c r="B518" s="23">
        <v>36</v>
      </c>
      <c r="C518" s="23" t="s">
        <v>38</v>
      </c>
      <c r="D518" s="23" t="s">
        <v>31</v>
      </c>
      <c r="E518" s="33">
        <v>5255.7999999999993</v>
      </c>
      <c r="G518" s="23"/>
      <c r="H518" s="23"/>
      <c r="I518" s="23"/>
      <c r="J518" s="33"/>
    </row>
    <row r="519" spans="2:10" hidden="1" x14ac:dyDescent="0.25">
      <c r="B519" s="23">
        <v>37</v>
      </c>
      <c r="C519" s="23" t="s">
        <v>38</v>
      </c>
      <c r="D519" s="23" t="s">
        <v>31</v>
      </c>
      <c r="E519" s="34">
        <v>5229.3999999999996</v>
      </c>
      <c r="G519" s="23"/>
      <c r="H519" s="23"/>
      <c r="I519" s="23"/>
      <c r="J519" s="34"/>
    </row>
    <row r="520" spans="2:10" hidden="1" x14ac:dyDescent="0.25">
      <c r="B520" s="23">
        <v>38</v>
      </c>
      <c r="C520" s="23" t="s">
        <v>38</v>
      </c>
      <c r="D520" s="23" t="s">
        <v>31</v>
      </c>
      <c r="E520" s="33">
        <v>5149.2999999999993</v>
      </c>
      <c r="G520" s="23"/>
      <c r="H520" s="23"/>
      <c r="I520" s="23"/>
      <c r="J520" s="33"/>
    </row>
    <row r="521" spans="2:10" hidden="1" x14ac:dyDescent="0.25">
      <c r="B521" s="23">
        <v>39</v>
      </c>
      <c r="C521" s="23" t="s">
        <v>38</v>
      </c>
      <c r="D521" s="23" t="s">
        <v>31</v>
      </c>
      <c r="E521" s="34">
        <v>4746.24039885</v>
      </c>
      <c r="G521" s="23"/>
      <c r="H521" s="23"/>
      <c r="I521" s="23"/>
      <c r="J521" s="34"/>
    </row>
    <row r="522" spans="2:10" hidden="1" x14ac:dyDescent="0.25">
      <c r="B522" s="23">
        <v>40</v>
      </c>
      <c r="C522" s="23" t="s">
        <v>38</v>
      </c>
      <c r="D522" s="23" t="s">
        <v>31</v>
      </c>
      <c r="E522" s="33">
        <v>4800.10059</v>
      </c>
      <c r="G522" s="23"/>
      <c r="H522" s="23"/>
      <c r="I522" s="23"/>
      <c r="J522" s="33"/>
    </row>
    <row r="523" spans="2:10" x14ac:dyDescent="0.25">
      <c r="B523" s="23">
        <v>1</v>
      </c>
      <c r="C523" s="23" t="s">
        <v>38</v>
      </c>
      <c r="D523" s="23" t="s">
        <v>32</v>
      </c>
      <c r="E523" s="27">
        <v>2012</v>
      </c>
      <c r="G523" s="23"/>
      <c r="H523" s="23"/>
      <c r="I523" s="23"/>
      <c r="J523" s="27"/>
    </row>
    <row r="524" spans="2:10" x14ac:dyDescent="0.25">
      <c r="B524" s="23">
        <v>2</v>
      </c>
      <c r="C524" s="23" t="s">
        <v>38</v>
      </c>
      <c r="D524" s="23" t="s">
        <v>32</v>
      </c>
      <c r="E524" s="28">
        <v>1926</v>
      </c>
      <c r="G524" s="23"/>
      <c r="H524" s="23"/>
      <c r="I524" s="23"/>
      <c r="J524" s="28"/>
    </row>
    <row r="525" spans="2:10" x14ac:dyDescent="0.25">
      <c r="B525" s="23">
        <v>3</v>
      </c>
      <c r="C525" s="23" t="s">
        <v>38</v>
      </c>
      <c r="D525" s="23" t="s">
        <v>32</v>
      </c>
      <c r="E525" s="27">
        <v>2028</v>
      </c>
      <c r="G525" s="23"/>
      <c r="H525" s="23"/>
      <c r="I525" s="23"/>
      <c r="J525" s="27"/>
    </row>
    <row r="526" spans="2:10" x14ac:dyDescent="0.25">
      <c r="B526" s="23">
        <v>4</v>
      </c>
      <c r="C526" s="23" t="s">
        <v>38</v>
      </c>
      <c r="D526" s="23" t="s">
        <v>32</v>
      </c>
      <c r="E526" s="28">
        <v>1864</v>
      </c>
      <c r="G526" s="23"/>
      <c r="H526" s="23"/>
      <c r="I526" s="23"/>
      <c r="J526" s="28"/>
    </row>
    <row r="527" spans="2:10" x14ac:dyDescent="0.25">
      <c r="B527" s="23">
        <v>5</v>
      </c>
      <c r="C527" s="23" t="s">
        <v>38</v>
      </c>
      <c r="D527" s="23" t="s">
        <v>32</v>
      </c>
      <c r="E527" s="27">
        <v>1605</v>
      </c>
      <c r="G527" s="23"/>
      <c r="H527" s="23"/>
      <c r="I527" s="23"/>
      <c r="J527" s="27"/>
    </row>
    <row r="528" spans="2:10" x14ac:dyDescent="0.25">
      <c r="B528" s="23">
        <v>6</v>
      </c>
      <c r="C528" s="23" t="s">
        <v>38</v>
      </c>
      <c r="D528" s="23" t="s">
        <v>32</v>
      </c>
      <c r="E528" s="28">
        <v>1478</v>
      </c>
      <c r="G528" s="23"/>
      <c r="H528" s="23"/>
      <c r="I528" s="23"/>
      <c r="J528" s="28"/>
    </row>
    <row r="529" spans="2:10" x14ac:dyDescent="0.25">
      <c r="B529" s="23">
        <v>7</v>
      </c>
      <c r="C529" s="23" t="s">
        <v>38</v>
      </c>
      <c r="D529" s="23" t="s">
        <v>32</v>
      </c>
      <c r="E529" s="27">
        <v>1837</v>
      </c>
      <c r="G529" s="23"/>
      <c r="H529" s="23"/>
      <c r="I529" s="23"/>
      <c r="J529" s="27"/>
    </row>
    <row r="530" spans="2:10" x14ac:dyDescent="0.25">
      <c r="B530" s="23">
        <v>8</v>
      </c>
      <c r="C530" s="23" t="s">
        <v>38</v>
      </c>
      <c r="D530" s="23" t="s">
        <v>32</v>
      </c>
      <c r="E530" s="28">
        <v>1569</v>
      </c>
      <c r="G530" s="23"/>
      <c r="H530" s="23"/>
      <c r="I530" s="23"/>
      <c r="J530" s="28"/>
    </row>
    <row r="531" spans="2:10" x14ac:dyDescent="0.25">
      <c r="B531" s="23">
        <v>9</v>
      </c>
      <c r="C531" s="23" t="s">
        <v>38</v>
      </c>
      <c r="D531" s="23" t="s">
        <v>32</v>
      </c>
      <c r="E531" s="27">
        <v>1718</v>
      </c>
      <c r="G531" s="23"/>
      <c r="H531" s="23"/>
      <c r="I531" s="23"/>
      <c r="J531" s="27"/>
    </row>
    <row r="532" spans="2:10" x14ac:dyDescent="0.25">
      <c r="B532" s="23">
        <v>10</v>
      </c>
      <c r="C532" s="23" t="s">
        <v>38</v>
      </c>
      <c r="D532" s="23" t="s">
        <v>32</v>
      </c>
      <c r="E532" s="28">
        <v>1618</v>
      </c>
      <c r="G532" s="23"/>
      <c r="H532" s="23"/>
      <c r="I532" s="23"/>
      <c r="J532" s="28"/>
    </row>
    <row r="533" spans="2:10" x14ac:dyDescent="0.25">
      <c r="B533" s="23">
        <v>11</v>
      </c>
      <c r="C533" s="23" t="s">
        <v>38</v>
      </c>
      <c r="D533" s="23" t="s">
        <v>32</v>
      </c>
      <c r="E533" s="27">
        <v>1406</v>
      </c>
      <c r="G533" s="23"/>
      <c r="H533" s="23"/>
      <c r="I533" s="23"/>
      <c r="J533" s="27"/>
    </row>
    <row r="534" spans="2:10" x14ac:dyDescent="0.25">
      <c r="B534" s="23">
        <v>12</v>
      </c>
      <c r="C534" s="23" t="s">
        <v>38</v>
      </c>
      <c r="D534" s="23" t="s">
        <v>32</v>
      </c>
      <c r="E534" s="28">
        <v>1236</v>
      </c>
      <c r="G534" s="23"/>
      <c r="H534" s="23"/>
      <c r="I534" s="23"/>
      <c r="J534" s="28"/>
    </row>
    <row r="535" spans="2:10" x14ac:dyDescent="0.25">
      <c r="B535" s="23">
        <v>13</v>
      </c>
      <c r="C535" s="23" t="s">
        <v>38</v>
      </c>
      <c r="D535" s="23" t="s">
        <v>32</v>
      </c>
      <c r="E535" s="27">
        <v>1218</v>
      </c>
      <c r="G535" s="23"/>
      <c r="H535" s="23"/>
      <c r="I535" s="23"/>
      <c r="J535" s="27"/>
    </row>
    <row r="536" spans="2:10" x14ac:dyDescent="0.25">
      <c r="B536" s="23">
        <v>14</v>
      </c>
      <c r="C536" s="23" t="s">
        <v>38</v>
      </c>
      <c r="D536" s="23" t="s">
        <v>32</v>
      </c>
      <c r="E536" s="28">
        <v>1310</v>
      </c>
      <c r="G536" s="23"/>
      <c r="H536" s="23"/>
      <c r="I536" s="23"/>
      <c r="J536" s="28"/>
    </row>
    <row r="537" spans="2:10" x14ac:dyDescent="0.25">
      <c r="B537" s="23">
        <v>15</v>
      </c>
      <c r="C537" s="23" t="s">
        <v>38</v>
      </c>
      <c r="D537" s="23" t="s">
        <v>32</v>
      </c>
      <c r="E537" s="27">
        <v>1367</v>
      </c>
      <c r="G537" s="23"/>
      <c r="H537" s="23"/>
      <c r="I537" s="23"/>
      <c r="J537" s="27"/>
    </row>
    <row r="538" spans="2:10" x14ac:dyDescent="0.25">
      <c r="B538" s="23">
        <v>16</v>
      </c>
      <c r="C538" s="23" t="s">
        <v>38</v>
      </c>
      <c r="D538" s="23" t="s">
        <v>32</v>
      </c>
      <c r="E538" s="28">
        <v>1104</v>
      </c>
      <c r="G538" s="23"/>
      <c r="H538" s="23"/>
      <c r="I538" s="23"/>
      <c r="J538" s="28"/>
    </row>
    <row r="539" spans="2:10" x14ac:dyDescent="0.25">
      <c r="B539" s="23">
        <v>17</v>
      </c>
      <c r="C539" s="23" t="s">
        <v>38</v>
      </c>
      <c r="D539" s="23" t="s">
        <v>32</v>
      </c>
      <c r="E539" s="27">
        <v>1307</v>
      </c>
      <c r="G539" s="23"/>
      <c r="H539" s="23"/>
      <c r="I539" s="23"/>
      <c r="J539" s="27"/>
    </row>
    <row r="540" spans="2:10" x14ac:dyDescent="0.25">
      <c r="B540" s="23">
        <v>18</v>
      </c>
      <c r="C540" s="23" t="s">
        <v>38</v>
      </c>
      <c r="D540" s="23" t="s">
        <v>32</v>
      </c>
      <c r="E540" s="28">
        <v>1121</v>
      </c>
      <c r="G540" s="23"/>
      <c r="H540" s="23"/>
      <c r="I540" s="23"/>
      <c r="J540" s="28"/>
    </row>
    <row r="541" spans="2:10" x14ac:dyDescent="0.25">
      <c r="B541" s="23">
        <v>19</v>
      </c>
      <c r="C541" s="23" t="s">
        <v>38</v>
      </c>
      <c r="D541" s="23" t="s">
        <v>32</v>
      </c>
      <c r="E541" s="27">
        <v>1056</v>
      </c>
      <c r="G541" s="23"/>
      <c r="H541" s="23"/>
      <c r="I541" s="23"/>
      <c r="J541" s="27"/>
    </row>
    <row r="542" spans="2:10" x14ac:dyDescent="0.25">
      <c r="B542" s="23">
        <v>20</v>
      </c>
      <c r="C542" s="23" t="s">
        <v>38</v>
      </c>
      <c r="D542" s="23" t="s">
        <v>32</v>
      </c>
      <c r="E542" s="28">
        <v>1271</v>
      </c>
      <c r="G542" s="23"/>
      <c r="H542" s="23"/>
      <c r="I542" s="23"/>
      <c r="J542" s="28"/>
    </row>
    <row r="543" spans="2:10" x14ac:dyDescent="0.25">
      <c r="B543" s="23">
        <v>21</v>
      </c>
      <c r="C543" s="23" t="s">
        <v>38</v>
      </c>
      <c r="D543" s="23" t="s">
        <v>32</v>
      </c>
      <c r="E543" s="27">
        <v>1189</v>
      </c>
      <c r="G543" s="23"/>
      <c r="H543" s="23"/>
      <c r="I543" s="23"/>
      <c r="J543" s="27"/>
    </row>
    <row r="544" spans="2:10" x14ac:dyDescent="0.25">
      <c r="B544" s="23">
        <v>22</v>
      </c>
      <c r="C544" s="23" t="s">
        <v>38</v>
      </c>
      <c r="D544" s="23" t="s">
        <v>32</v>
      </c>
      <c r="E544" s="28">
        <v>1204</v>
      </c>
      <c r="G544" s="23"/>
      <c r="H544" s="23"/>
      <c r="I544" s="23"/>
      <c r="J544" s="28"/>
    </row>
    <row r="545" spans="2:10" x14ac:dyDescent="0.25">
      <c r="B545" s="23">
        <v>23</v>
      </c>
      <c r="C545" s="23" t="s">
        <v>38</v>
      </c>
      <c r="D545" s="23" t="s">
        <v>32</v>
      </c>
      <c r="E545" s="27">
        <v>1543</v>
      </c>
      <c r="G545" s="23"/>
      <c r="H545" s="23"/>
      <c r="I545" s="23"/>
      <c r="J545" s="27"/>
    </row>
    <row r="546" spans="2:10" x14ac:dyDescent="0.25">
      <c r="B546" s="23">
        <v>24</v>
      </c>
      <c r="C546" s="23" t="s">
        <v>38</v>
      </c>
      <c r="D546" s="23" t="s">
        <v>32</v>
      </c>
      <c r="E546" s="28">
        <v>1605</v>
      </c>
      <c r="G546" s="23"/>
      <c r="H546" s="23"/>
      <c r="I546" s="23"/>
      <c r="J546" s="28"/>
    </row>
    <row r="547" spans="2:10" x14ac:dyDescent="0.25">
      <c r="B547" s="23">
        <v>25</v>
      </c>
      <c r="C547" s="23" t="s">
        <v>38</v>
      </c>
      <c r="D547" s="23" t="s">
        <v>32</v>
      </c>
      <c r="E547" s="27">
        <v>1635</v>
      </c>
      <c r="G547" s="23"/>
      <c r="H547" s="23"/>
      <c r="I547" s="23"/>
      <c r="J547" s="27"/>
    </row>
    <row r="548" spans="2:10" x14ac:dyDescent="0.25">
      <c r="B548" s="23">
        <v>26</v>
      </c>
      <c r="C548" s="23" t="s">
        <v>38</v>
      </c>
      <c r="D548" s="23" t="s">
        <v>32</v>
      </c>
      <c r="E548" s="28">
        <v>1391</v>
      </c>
      <c r="G548" s="23"/>
      <c r="H548" s="23"/>
      <c r="I548" s="23"/>
      <c r="J548" s="28"/>
    </row>
    <row r="549" spans="2:10" x14ac:dyDescent="0.25">
      <c r="B549" s="23">
        <v>27</v>
      </c>
      <c r="C549" s="23" t="s">
        <v>38</v>
      </c>
      <c r="D549" s="23" t="s">
        <v>32</v>
      </c>
      <c r="E549" s="27">
        <v>1402</v>
      </c>
      <c r="G549" s="23"/>
      <c r="H549" s="23"/>
      <c r="I549" s="23"/>
      <c r="J549" s="27"/>
    </row>
    <row r="550" spans="2:10" x14ac:dyDescent="0.25">
      <c r="B550" s="23">
        <v>28</v>
      </c>
      <c r="C550" s="23" t="s">
        <v>38</v>
      </c>
      <c r="D550" s="23" t="s">
        <v>32</v>
      </c>
      <c r="E550" s="28">
        <v>1586</v>
      </c>
      <c r="G550" s="23"/>
      <c r="H550" s="23"/>
      <c r="I550" s="23"/>
      <c r="J550" s="28"/>
    </row>
    <row r="551" spans="2:10" x14ac:dyDescent="0.25">
      <c r="B551" s="23">
        <v>29</v>
      </c>
      <c r="C551" s="23" t="s">
        <v>38</v>
      </c>
      <c r="D551" s="23" t="s">
        <v>32</v>
      </c>
      <c r="E551" s="27">
        <v>1349</v>
      </c>
      <c r="G551" s="23"/>
      <c r="H551" s="23"/>
      <c r="I551" s="23"/>
      <c r="J551" s="27"/>
    </row>
    <row r="552" spans="2:10" x14ac:dyDescent="0.25">
      <c r="B552" s="23">
        <v>30</v>
      </c>
      <c r="C552" s="23" t="s">
        <v>38</v>
      </c>
      <c r="D552" s="23" t="s">
        <v>32</v>
      </c>
      <c r="E552" s="28">
        <v>1262</v>
      </c>
      <c r="G552" s="23"/>
      <c r="H552" s="23"/>
      <c r="I552" s="23"/>
      <c r="J552" s="28"/>
    </row>
    <row r="553" spans="2:10" x14ac:dyDescent="0.25">
      <c r="B553" s="23">
        <v>31</v>
      </c>
      <c r="C553" s="23" t="s">
        <v>38</v>
      </c>
      <c r="D553" s="23" t="s">
        <v>32</v>
      </c>
      <c r="E553" s="27">
        <v>1404</v>
      </c>
      <c r="G553" s="23"/>
      <c r="H553" s="23"/>
      <c r="I553" s="23"/>
      <c r="J553" s="27"/>
    </row>
    <row r="554" spans="2:10" x14ac:dyDescent="0.25">
      <c r="B554" s="23">
        <v>32</v>
      </c>
      <c r="C554" s="23" t="s">
        <v>38</v>
      </c>
      <c r="D554" s="23" t="s">
        <v>32</v>
      </c>
      <c r="E554" s="28">
        <v>1623</v>
      </c>
      <c r="G554" s="23"/>
      <c r="H554" s="23"/>
      <c r="I554" s="23"/>
      <c r="J554" s="28"/>
    </row>
    <row r="555" spans="2:10" x14ac:dyDescent="0.25">
      <c r="B555" s="23">
        <v>33</v>
      </c>
      <c r="C555" s="23" t="s">
        <v>38</v>
      </c>
      <c r="D555" s="23" t="s">
        <v>32</v>
      </c>
      <c r="E555" s="27">
        <v>1299.7714868447229</v>
      </c>
      <c r="G555" s="23"/>
      <c r="H555" s="23"/>
      <c r="I555" s="23"/>
      <c r="J555" s="27"/>
    </row>
    <row r="556" spans="2:10" x14ac:dyDescent="0.25">
      <c r="B556" s="23">
        <v>34</v>
      </c>
      <c r="C556" s="23" t="s">
        <v>38</v>
      </c>
      <c r="D556" s="23" t="s">
        <v>32</v>
      </c>
      <c r="E556" s="28">
        <v>1728.6304791111115</v>
      </c>
      <c r="G556" s="23"/>
      <c r="H556" s="23"/>
      <c r="I556" s="23"/>
      <c r="J556" s="28"/>
    </row>
    <row r="557" spans="2:10" x14ac:dyDescent="0.25">
      <c r="B557" s="23">
        <v>35</v>
      </c>
      <c r="C557" s="23" t="s">
        <v>38</v>
      </c>
      <c r="D557" s="23" t="s">
        <v>32</v>
      </c>
      <c r="E557" s="27">
        <v>1617</v>
      </c>
      <c r="G557" s="23"/>
      <c r="H557" s="23"/>
      <c r="I557" s="23"/>
      <c r="J557" s="27"/>
    </row>
    <row r="558" spans="2:10" x14ac:dyDescent="0.25">
      <c r="B558" s="23">
        <v>36</v>
      </c>
      <c r="C558" s="23" t="s">
        <v>38</v>
      </c>
      <c r="D558" s="23" t="s">
        <v>32</v>
      </c>
      <c r="E558" s="33">
        <v>1616.6000000000004</v>
      </c>
      <c r="G558" s="23"/>
      <c r="H558" s="23"/>
      <c r="I558" s="23"/>
      <c r="J558" s="33"/>
    </row>
    <row r="559" spans="2:10" x14ac:dyDescent="0.25">
      <c r="B559" s="23">
        <v>37</v>
      </c>
      <c r="C559" s="23" t="s">
        <v>38</v>
      </c>
      <c r="D559" s="23" t="s">
        <v>32</v>
      </c>
      <c r="E559" s="27">
        <v>1381.6999999999998</v>
      </c>
      <c r="G559" s="23"/>
      <c r="H559" s="23"/>
      <c r="I559" s="23"/>
      <c r="J559" s="27"/>
    </row>
    <row r="560" spans="2:10" x14ac:dyDescent="0.25">
      <c r="B560" s="23">
        <v>38</v>
      </c>
      <c r="C560" s="23" t="s">
        <v>38</v>
      </c>
      <c r="D560" s="23" t="s">
        <v>32</v>
      </c>
      <c r="E560" s="38">
        <v>1034.8999999999996</v>
      </c>
      <c r="G560" s="23"/>
      <c r="H560" s="23"/>
      <c r="I560" s="23"/>
      <c r="J560" s="38"/>
    </row>
    <row r="561" spans="2:10" x14ac:dyDescent="0.25">
      <c r="B561" s="23">
        <v>39</v>
      </c>
      <c r="C561" s="23" t="s">
        <v>38</v>
      </c>
      <c r="D561" s="23" t="s">
        <v>32</v>
      </c>
      <c r="E561" s="39">
        <v>827.28762125000003</v>
      </c>
      <c r="G561" s="23"/>
      <c r="H561" s="23"/>
      <c r="I561" s="23"/>
      <c r="J561" s="39"/>
    </row>
    <row r="562" spans="2:10" x14ac:dyDescent="0.25">
      <c r="B562" s="23">
        <v>40</v>
      </c>
      <c r="C562" s="23" t="s">
        <v>38</v>
      </c>
      <c r="D562" s="23" t="s">
        <v>32</v>
      </c>
      <c r="E562" s="40">
        <v>1078.9863499999997</v>
      </c>
      <c r="G562" s="23"/>
      <c r="H562" s="23"/>
      <c r="I562" s="23"/>
      <c r="J562" s="40"/>
    </row>
    <row r="563" spans="2:10" x14ac:dyDescent="0.25">
      <c r="B563" s="23">
        <v>1</v>
      </c>
      <c r="C563" s="23" t="s">
        <v>38</v>
      </c>
      <c r="D563" s="23" t="s">
        <v>33</v>
      </c>
      <c r="E563" s="34">
        <v>1727.8532009999999</v>
      </c>
      <c r="G563" s="23"/>
      <c r="H563" s="23"/>
      <c r="I563" s="23"/>
      <c r="J563" s="34"/>
    </row>
    <row r="564" spans="2:10" x14ac:dyDescent="0.25">
      <c r="B564" s="23">
        <v>2</v>
      </c>
      <c r="C564" s="23" t="s">
        <v>38</v>
      </c>
      <c r="D564" s="23" t="s">
        <v>33</v>
      </c>
      <c r="E564" s="33">
        <v>1633.1075435000002</v>
      </c>
      <c r="G564" s="23"/>
      <c r="H564" s="23"/>
      <c r="I564" s="23"/>
      <c r="J564" s="33"/>
    </row>
    <row r="565" spans="2:10" x14ac:dyDescent="0.25">
      <c r="B565" s="23">
        <v>3</v>
      </c>
      <c r="C565" s="23" t="s">
        <v>38</v>
      </c>
      <c r="D565" s="23" t="s">
        <v>33</v>
      </c>
      <c r="E565" s="34">
        <v>1766.8867869999995</v>
      </c>
      <c r="G565" s="23"/>
      <c r="H565" s="23"/>
      <c r="I565" s="23"/>
      <c r="J565" s="34"/>
    </row>
    <row r="566" spans="2:10" x14ac:dyDescent="0.25">
      <c r="B566" s="23">
        <v>4</v>
      </c>
      <c r="C566" s="23" t="s">
        <v>38</v>
      </c>
      <c r="D566" s="23" t="s">
        <v>33</v>
      </c>
      <c r="E566" s="33">
        <v>1881.5636650000006</v>
      </c>
      <c r="G566" s="23"/>
      <c r="H566" s="23"/>
      <c r="I566" s="23"/>
      <c r="J566" s="33"/>
    </row>
    <row r="567" spans="2:10" x14ac:dyDescent="0.25">
      <c r="B567" s="23">
        <v>5</v>
      </c>
      <c r="C567" s="23" t="s">
        <v>38</v>
      </c>
      <c r="D567" s="23" t="s">
        <v>33</v>
      </c>
      <c r="E567" s="34">
        <v>1553.39725</v>
      </c>
      <c r="G567" s="23"/>
      <c r="H567" s="23"/>
      <c r="I567" s="23"/>
      <c r="J567" s="34"/>
    </row>
    <row r="568" spans="2:10" x14ac:dyDescent="0.25">
      <c r="B568" s="23">
        <v>6</v>
      </c>
      <c r="C568" s="23" t="s">
        <v>38</v>
      </c>
      <c r="D568" s="23" t="s">
        <v>33</v>
      </c>
      <c r="E568" s="33">
        <v>1553.2977649999998</v>
      </c>
      <c r="G568" s="23"/>
      <c r="H568" s="23"/>
      <c r="I568" s="23"/>
      <c r="J568" s="33"/>
    </row>
    <row r="569" spans="2:10" x14ac:dyDescent="0.25">
      <c r="B569" s="23">
        <v>7</v>
      </c>
      <c r="C569" s="23" t="s">
        <v>38</v>
      </c>
      <c r="D569" s="23" t="s">
        <v>33</v>
      </c>
      <c r="E569" s="34">
        <v>1993.13832</v>
      </c>
      <c r="G569" s="23"/>
      <c r="H569" s="23"/>
      <c r="I569" s="23"/>
      <c r="J569" s="34"/>
    </row>
    <row r="570" spans="2:10" x14ac:dyDescent="0.25">
      <c r="B570" s="23">
        <v>8</v>
      </c>
      <c r="C570" s="23" t="s">
        <v>38</v>
      </c>
      <c r="D570" s="23" t="s">
        <v>33</v>
      </c>
      <c r="E570" s="33">
        <v>1866.2490530000002</v>
      </c>
      <c r="G570" s="23"/>
      <c r="H570" s="23"/>
      <c r="I570" s="23"/>
      <c r="J570" s="33"/>
    </row>
    <row r="571" spans="2:10" x14ac:dyDescent="0.25">
      <c r="B571" s="23">
        <v>9</v>
      </c>
      <c r="C571" s="23" t="s">
        <v>38</v>
      </c>
      <c r="D571" s="23" t="s">
        <v>33</v>
      </c>
      <c r="E571" s="34">
        <v>2148.8686950000001</v>
      </c>
      <c r="G571" s="23"/>
      <c r="H571" s="23"/>
      <c r="I571" s="23"/>
      <c r="J571" s="34"/>
    </row>
    <row r="572" spans="2:10" x14ac:dyDescent="0.25">
      <c r="B572" s="23">
        <v>10</v>
      </c>
      <c r="C572" s="23" t="s">
        <v>38</v>
      </c>
      <c r="D572" s="23" t="s">
        <v>33</v>
      </c>
      <c r="E572" s="33">
        <v>2045.6442900000006</v>
      </c>
      <c r="G572" s="23"/>
      <c r="H572" s="23"/>
      <c r="I572" s="23"/>
      <c r="J572" s="33"/>
    </row>
    <row r="573" spans="2:10" x14ac:dyDescent="0.25">
      <c r="B573" s="23">
        <v>11</v>
      </c>
      <c r="C573" s="23" t="s">
        <v>38</v>
      </c>
      <c r="D573" s="23" t="s">
        <v>33</v>
      </c>
      <c r="E573" s="34">
        <v>1869.9370699999999</v>
      </c>
      <c r="G573" s="23"/>
      <c r="H573" s="23"/>
      <c r="I573" s="23"/>
      <c r="J573" s="34"/>
    </row>
    <row r="574" spans="2:10" x14ac:dyDescent="0.25">
      <c r="B574" s="23">
        <v>12</v>
      </c>
      <c r="C574" s="23" t="s">
        <v>38</v>
      </c>
      <c r="D574" s="23" t="s">
        <v>33</v>
      </c>
      <c r="E574" s="33">
        <v>1563.5132900000001</v>
      </c>
      <c r="G574" s="23"/>
      <c r="H574" s="23"/>
      <c r="I574" s="23"/>
      <c r="J574" s="33"/>
    </row>
    <row r="575" spans="2:10" x14ac:dyDescent="0.25">
      <c r="B575" s="23">
        <v>13</v>
      </c>
      <c r="C575" s="23" t="s">
        <v>38</v>
      </c>
      <c r="D575" s="23" t="s">
        <v>33</v>
      </c>
      <c r="E575" s="34">
        <v>1563.8841850000003</v>
      </c>
      <c r="G575" s="23"/>
      <c r="H575" s="23"/>
      <c r="I575" s="23"/>
      <c r="J575" s="34"/>
    </row>
    <row r="576" spans="2:10" x14ac:dyDescent="0.25">
      <c r="B576" s="23">
        <v>14</v>
      </c>
      <c r="C576" s="23" t="s">
        <v>38</v>
      </c>
      <c r="D576" s="23" t="s">
        <v>33</v>
      </c>
      <c r="E576" s="33">
        <v>1739.0577680000001</v>
      </c>
      <c r="G576" s="23"/>
      <c r="H576" s="23"/>
      <c r="I576" s="23"/>
      <c r="J576" s="33"/>
    </row>
    <row r="577" spans="2:10" x14ac:dyDescent="0.25">
      <c r="B577" s="23">
        <v>15</v>
      </c>
      <c r="C577" s="23" t="s">
        <v>38</v>
      </c>
      <c r="D577" s="23" t="s">
        <v>33</v>
      </c>
      <c r="E577" s="34">
        <v>1789.7834959999996</v>
      </c>
      <c r="G577" s="23"/>
      <c r="H577" s="23"/>
      <c r="I577" s="23"/>
      <c r="J577" s="34"/>
    </row>
    <row r="578" spans="2:10" x14ac:dyDescent="0.25">
      <c r="B578" s="23">
        <v>16</v>
      </c>
      <c r="C578" s="23" t="s">
        <v>38</v>
      </c>
      <c r="D578" s="23" t="s">
        <v>33</v>
      </c>
      <c r="E578" s="33">
        <v>1657.9943850000004</v>
      </c>
      <c r="G578" s="23"/>
      <c r="H578" s="23"/>
      <c r="I578" s="23"/>
      <c r="J578" s="33"/>
    </row>
    <row r="579" spans="2:10" x14ac:dyDescent="0.25">
      <c r="B579" s="23">
        <v>17</v>
      </c>
      <c r="C579" s="23" t="s">
        <v>38</v>
      </c>
      <c r="D579" s="23" t="s">
        <v>33</v>
      </c>
      <c r="E579" s="34">
        <v>1825.987265</v>
      </c>
      <c r="G579" s="23"/>
      <c r="H579" s="23"/>
      <c r="I579" s="23"/>
      <c r="J579" s="34"/>
    </row>
    <row r="580" spans="2:10" x14ac:dyDescent="0.25">
      <c r="B580" s="23">
        <v>18</v>
      </c>
      <c r="C580" s="23" t="s">
        <v>38</v>
      </c>
      <c r="D580" s="23" t="s">
        <v>33</v>
      </c>
      <c r="E580" s="33">
        <v>1622.6175779999996</v>
      </c>
      <c r="G580" s="23"/>
      <c r="H580" s="23"/>
      <c r="I580" s="23"/>
      <c r="J580" s="33"/>
    </row>
    <row r="581" spans="2:10" x14ac:dyDescent="0.25">
      <c r="B581" s="23">
        <v>19</v>
      </c>
      <c r="C581" s="23" t="s">
        <v>38</v>
      </c>
      <c r="D581" s="23" t="s">
        <v>33</v>
      </c>
      <c r="E581" s="34">
        <v>1536.9598599999999</v>
      </c>
      <c r="G581" s="23"/>
      <c r="H581" s="23"/>
      <c r="I581" s="23"/>
      <c r="J581" s="34"/>
    </row>
    <row r="582" spans="2:10" x14ac:dyDescent="0.25">
      <c r="B582" s="23">
        <v>20</v>
      </c>
      <c r="C582" s="23" t="s">
        <v>38</v>
      </c>
      <c r="D582" s="23" t="s">
        <v>33</v>
      </c>
      <c r="E582" s="33">
        <v>1712.4842964999998</v>
      </c>
      <c r="G582" s="23"/>
      <c r="H582" s="23"/>
      <c r="I582" s="23"/>
      <c r="J582" s="33"/>
    </row>
    <row r="583" spans="2:10" x14ac:dyDescent="0.25">
      <c r="B583" s="23">
        <v>21</v>
      </c>
      <c r="C583" s="23" t="s">
        <v>38</v>
      </c>
      <c r="D583" s="23" t="s">
        <v>33</v>
      </c>
      <c r="E583" s="34">
        <v>1788.6469875000003</v>
      </c>
      <c r="G583" s="23"/>
      <c r="H583" s="23"/>
      <c r="I583" s="23"/>
      <c r="J583" s="34"/>
    </row>
    <row r="584" spans="2:10" x14ac:dyDescent="0.25">
      <c r="B584" s="23">
        <v>22</v>
      </c>
      <c r="C584" s="23" t="s">
        <v>38</v>
      </c>
      <c r="D584" s="23" t="s">
        <v>33</v>
      </c>
      <c r="E584" s="33">
        <v>1807.8035599999998</v>
      </c>
      <c r="G584" s="23"/>
      <c r="H584" s="23"/>
      <c r="I584" s="23"/>
      <c r="J584" s="33"/>
    </row>
    <row r="585" spans="2:10" x14ac:dyDescent="0.25">
      <c r="B585" s="23">
        <v>23</v>
      </c>
      <c r="C585" s="23" t="s">
        <v>38</v>
      </c>
      <c r="D585" s="23" t="s">
        <v>33</v>
      </c>
      <c r="E585" s="34">
        <v>2090.5119979999999</v>
      </c>
      <c r="G585" s="23"/>
      <c r="H585" s="23"/>
      <c r="I585" s="23"/>
      <c r="J585" s="34"/>
    </row>
    <row r="586" spans="2:10" x14ac:dyDescent="0.25">
      <c r="B586" s="23">
        <v>24</v>
      </c>
      <c r="C586" s="23" t="s">
        <v>38</v>
      </c>
      <c r="D586" s="23" t="s">
        <v>33</v>
      </c>
      <c r="E586" s="33">
        <v>2157.9307625000006</v>
      </c>
      <c r="G586" s="23"/>
      <c r="H586" s="23"/>
      <c r="I586" s="23"/>
      <c r="J586" s="33"/>
    </row>
    <row r="587" spans="2:10" x14ac:dyDescent="0.25">
      <c r="B587" s="23">
        <v>25</v>
      </c>
      <c r="C587" s="23" t="s">
        <v>38</v>
      </c>
      <c r="D587" s="23" t="s">
        <v>33</v>
      </c>
      <c r="E587" s="34">
        <v>2253.9739049999998</v>
      </c>
      <c r="G587" s="23"/>
      <c r="H587" s="23"/>
      <c r="I587" s="23"/>
      <c r="J587" s="34"/>
    </row>
    <row r="588" spans="2:10" x14ac:dyDescent="0.25">
      <c r="B588" s="23">
        <v>26</v>
      </c>
      <c r="C588" s="23" t="s">
        <v>38</v>
      </c>
      <c r="D588" s="23" t="s">
        <v>33</v>
      </c>
      <c r="E588" s="33">
        <v>1891.5369665149594</v>
      </c>
      <c r="G588" s="23"/>
      <c r="H588" s="23"/>
      <c r="I588" s="23"/>
      <c r="J588" s="33"/>
    </row>
    <row r="589" spans="2:10" x14ac:dyDescent="0.25">
      <c r="B589" s="23">
        <v>27</v>
      </c>
      <c r="C589" s="23" t="s">
        <v>38</v>
      </c>
      <c r="D589" s="23" t="s">
        <v>33</v>
      </c>
      <c r="E589" s="34">
        <v>1693.65254</v>
      </c>
      <c r="G589" s="23"/>
      <c r="H589" s="23"/>
      <c r="I589" s="23"/>
      <c r="J589" s="34"/>
    </row>
    <row r="590" spans="2:10" x14ac:dyDescent="0.25">
      <c r="B590" s="23">
        <v>28</v>
      </c>
      <c r="C590" s="23" t="s">
        <v>38</v>
      </c>
      <c r="D590" s="23" t="s">
        <v>33</v>
      </c>
      <c r="E590" s="33">
        <v>1963.4720125000001</v>
      </c>
      <c r="G590" s="23"/>
      <c r="H590" s="23"/>
      <c r="I590" s="23"/>
      <c r="J590" s="33"/>
    </row>
    <row r="591" spans="2:10" x14ac:dyDescent="0.25">
      <c r="B591" s="23">
        <v>29</v>
      </c>
      <c r="C591" s="23" t="s">
        <v>38</v>
      </c>
      <c r="D591" s="23" t="s">
        <v>33</v>
      </c>
      <c r="E591" s="34">
        <v>1656.6105837500002</v>
      </c>
      <c r="G591" s="23"/>
      <c r="H591" s="23"/>
      <c r="I591" s="23"/>
      <c r="J591" s="34"/>
    </row>
    <row r="592" spans="2:10" x14ac:dyDescent="0.25">
      <c r="B592" s="23">
        <v>30</v>
      </c>
      <c r="C592" s="23" t="s">
        <v>38</v>
      </c>
      <c r="D592" s="23" t="s">
        <v>33</v>
      </c>
      <c r="E592" s="33">
        <v>1757.1755090648935</v>
      </c>
      <c r="G592" s="23"/>
      <c r="H592" s="23"/>
      <c r="I592" s="23"/>
      <c r="J592" s="33"/>
    </row>
    <row r="593" spans="2:10" x14ac:dyDescent="0.25">
      <c r="B593" s="23">
        <v>31</v>
      </c>
      <c r="C593" s="23" t="s">
        <v>38</v>
      </c>
      <c r="D593" s="23" t="s">
        <v>33</v>
      </c>
      <c r="E593" s="34">
        <v>1709.9618479999999</v>
      </c>
      <c r="G593" s="23"/>
      <c r="H593" s="23"/>
      <c r="I593" s="23"/>
      <c r="J593" s="34"/>
    </row>
    <row r="594" spans="2:10" x14ac:dyDescent="0.25">
      <c r="B594" s="23">
        <v>32</v>
      </c>
      <c r="C594" s="23" t="s">
        <v>38</v>
      </c>
      <c r="D594" s="23" t="s">
        <v>33</v>
      </c>
      <c r="E594" s="33">
        <v>1447.3588450000007</v>
      </c>
      <c r="G594" s="23"/>
      <c r="H594" s="23"/>
      <c r="I594" s="23"/>
      <c r="J594" s="33"/>
    </row>
    <row r="595" spans="2:10" x14ac:dyDescent="0.25">
      <c r="B595" s="23">
        <v>33</v>
      </c>
      <c r="C595" s="23" t="s">
        <v>38</v>
      </c>
      <c r="D595" s="23" t="s">
        <v>33</v>
      </c>
      <c r="E595" s="34">
        <v>1646.9464723821243</v>
      </c>
      <c r="G595" s="23"/>
      <c r="H595" s="23"/>
      <c r="I595" s="23"/>
      <c r="J595" s="34"/>
    </row>
    <row r="596" spans="2:10" x14ac:dyDescent="0.25">
      <c r="B596" s="23">
        <v>34</v>
      </c>
      <c r="C596" s="23" t="s">
        <v>38</v>
      </c>
      <c r="D596" s="23" t="s">
        <v>33</v>
      </c>
      <c r="E596" s="33">
        <v>2077.8527829000004</v>
      </c>
      <c r="G596" s="23"/>
      <c r="H596" s="23"/>
      <c r="I596" s="23"/>
      <c r="J596" s="33"/>
    </row>
    <row r="597" spans="2:10" x14ac:dyDescent="0.25">
      <c r="B597" s="23">
        <v>35</v>
      </c>
      <c r="C597" s="23" t="s">
        <v>38</v>
      </c>
      <c r="D597" s="23" t="s">
        <v>33</v>
      </c>
      <c r="E597" s="34">
        <v>1983.3999999999996</v>
      </c>
      <c r="G597" s="23"/>
      <c r="H597" s="23"/>
      <c r="I597" s="23"/>
      <c r="J597" s="34"/>
    </row>
    <row r="598" spans="2:10" x14ac:dyDescent="0.25">
      <c r="B598" s="23">
        <v>36</v>
      </c>
      <c r="C598" s="23" t="s">
        <v>38</v>
      </c>
      <c r="D598" s="23" t="s">
        <v>33</v>
      </c>
      <c r="E598" s="33">
        <v>1624.8999999999996</v>
      </c>
      <c r="G598" s="23"/>
      <c r="H598" s="23"/>
      <c r="I598" s="23"/>
      <c r="J598" s="33"/>
    </row>
    <row r="599" spans="2:10" x14ac:dyDescent="0.25">
      <c r="B599" s="23">
        <v>37</v>
      </c>
      <c r="C599" s="23" t="s">
        <v>38</v>
      </c>
      <c r="D599" s="23" t="s">
        <v>33</v>
      </c>
      <c r="E599" s="34">
        <v>1775.3000000000002</v>
      </c>
      <c r="G599" s="23"/>
      <c r="H599" s="23"/>
      <c r="I599" s="23"/>
      <c r="J599" s="34"/>
    </row>
    <row r="600" spans="2:10" x14ac:dyDescent="0.25">
      <c r="B600" s="23">
        <v>38</v>
      </c>
      <c r="C600" s="23" t="s">
        <v>38</v>
      </c>
      <c r="D600" s="23" t="s">
        <v>33</v>
      </c>
      <c r="E600" s="38">
        <v>1845.6999999999998</v>
      </c>
      <c r="G600" s="23"/>
      <c r="H600" s="23"/>
      <c r="I600" s="23"/>
      <c r="J600" s="38"/>
    </row>
    <row r="601" spans="2:10" x14ac:dyDescent="0.25">
      <c r="B601" s="23">
        <v>39</v>
      </c>
      <c r="C601" s="23" t="s">
        <v>38</v>
      </c>
      <c r="D601" s="23" t="s">
        <v>33</v>
      </c>
      <c r="E601" s="39">
        <v>907.93330599999945</v>
      </c>
      <c r="G601" s="23"/>
      <c r="H601" s="23"/>
      <c r="I601" s="23"/>
      <c r="J601" s="39"/>
    </row>
    <row r="602" spans="2:10" x14ac:dyDescent="0.25">
      <c r="B602" s="23">
        <v>40</v>
      </c>
      <c r="C602" s="23" t="s">
        <v>38</v>
      </c>
      <c r="D602" s="23" t="s">
        <v>33</v>
      </c>
      <c r="E602" s="40">
        <v>1416.5968750000002</v>
      </c>
      <c r="G602" s="23"/>
      <c r="H602" s="23"/>
      <c r="I602" s="23"/>
      <c r="J602" s="40"/>
    </row>
  </sheetData>
  <phoneticPr fontId="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D0E5-250F-40FF-AAFF-90C3F8B97ED6}">
  <dimension ref="A1:F16"/>
  <sheetViews>
    <sheetView workbookViewId="0">
      <selection activeCell="C2" sqref="C2"/>
    </sheetView>
  </sheetViews>
  <sheetFormatPr defaultRowHeight="15" x14ac:dyDescent="0.25"/>
  <cols>
    <col min="1" max="1" width="11.5703125" bestFit="1" customWidth="1"/>
    <col min="2" max="2" width="10.28515625" bestFit="1" customWidth="1"/>
    <col min="3" max="3" width="16.5703125" customWidth="1"/>
    <col min="4" max="5" width="14.28515625" customWidth="1"/>
    <col min="6" max="6" width="19.140625" bestFit="1" customWidth="1"/>
  </cols>
  <sheetData>
    <row r="1" spans="1:6" s="44" customFormat="1" ht="105" x14ac:dyDescent="0.25">
      <c r="A1" s="44" t="s">
        <v>43</v>
      </c>
      <c r="B1" s="44" t="s">
        <v>44</v>
      </c>
      <c r="C1" s="25" t="s">
        <v>45</v>
      </c>
      <c r="D1" s="25" t="s">
        <v>46</v>
      </c>
      <c r="E1" s="25" t="s">
        <v>47</v>
      </c>
    </row>
    <row r="2" spans="1:6" x14ac:dyDescent="0.25">
      <c r="A2" t="s">
        <v>31</v>
      </c>
      <c r="B2" t="s">
        <v>34</v>
      </c>
      <c r="C2">
        <v>189900.91731095553</v>
      </c>
      <c r="D2">
        <v>4747.522932773888</v>
      </c>
      <c r="E2">
        <v>549.89011765383452</v>
      </c>
      <c r="F2" s="26" t="s">
        <v>2</v>
      </c>
    </row>
    <row r="3" spans="1:6" x14ac:dyDescent="0.25">
      <c r="A3" t="s">
        <v>31</v>
      </c>
      <c r="B3" t="s">
        <v>35</v>
      </c>
      <c r="C3">
        <v>17205.536114950002</v>
      </c>
      <c r="D3">
        <v>430.13840287375007</v>
      </c>
      <c r="E3">
        <v>106.91824606277669</v>
      </c>
      <c r="F3" s="26" t="s">
        <v>3</v>
      </c>
    </row>
    <row r="4" spans="1:6" x14ac:dyDescent="0.25">
      <c r="A4" t="s">
        <v>31</v>
      </c>
      <c r="B4" t="s">
        <v>42</v>
      </c>
      <c r="C4">
        <v>4632.0904604000007</v>
      </c>
      <c r="D4">
        <v>115.80226151000002</v>
      </c>
      <c r="E4">
        <v>29.122429328520269</v>
      </c>
      <c r="F4" s="26" t="s">
        <v>4</v>
      </c>
    </row>
    <row r="5" spans="1:6" x14ac:dyDescent="0.25">
      <c r="A5" t="s">
        <v>31</v>
      </c>
      <c r="B5" t="s">
        <v>37</v>
      </c>
      <c r="C5">
        <v>64771.487251332874</v>
      </c>
      <c r="D5">
        <v>1619.2871812833218</v>
      </c>
      <c r="E5">
        <v>372.83743613892017</v>
      </c>
      <c r="F5" s="26" t="s">
        <v>5</v>
      </c>
    </row>
    <row r="6" spans="1:6" x14ac:dyDescent="0.25">
      <c r="A6" t="s">
        <v>31</v>
      </c>
      <c r="B6" t="s">
        <v>38</v>
      </c>
      <c r="C6">
        <v>169012.00686236151</v>
      </c>
      <c r="D6">
        <v>4225.3001715590381</v>
      </c>
      <c r="E6">
        <v>734.58804664028605</v>
      </c>
      <c r="F6" s="26" t="s">
        <v>6</v>
      </c>
    </row>
    <row r="7" spans="1:6" x14ac:dyDescent="0.25">
      <c r="A7" t="s">
        <v>32</v>
      </c>
      <c r="B7" t="s">
        <v>34</v>
      </c>
      <c r="C7">
        <v>77340.499043788892</v>
      </c>
      <c r="D7">
        <v>1933.5124760947224</v>
      </c>
      <c r="E7">
        <v>305.20727545327128</v>
      </c>
      <c r="F7" s="35" t="s">
        <v>7</v>
      </c>
    </row>
    <row r="8" spans="1:6" x14ac:dyDescent="0.25">
      <c r="A8" t="s">
        <v>32</v>
      </c>
      <c r="B8" t="s">
        <v>35</v>
      </c>
      <c r="C8">
        <v>6674.574321250001</v>
      </c>
      <c r="D8">
        <v>166.86435803125002</v>
      </c>
      <c r="E8">
        <v>41.788084038299218</v>
      </c>
      <c r="F8" s="35" t="s">
        <v>8</v>
      </c>
    </row>
    <row r="9" spans="1:6" x14ac:dyDescent="0.25">
      <c r="A9" t="s">
        <v>32</v>
      </c>
      <c r="B9" t="s">
        <v>42</v>
      </c>
      <c r="C9">
        <v>16008.2204425</v>
      </c>
      <c r="D9">
        <v>400.20551106250002</v>
      </c>
      <c r="E9">
        <v>87.15109527732983</v>
      </c>
      <c r="F9" s="35" t="s">
        <v>9</v>
      </c>
    </row>
    <row r="10" spans="1:6" x14ac:dyDescent="0.25">
      <c r="A10" t="s">
        <v>32</v>
      </c>
      <c r="B10" t="s">
        <v>37</v>
      </c>
      <c r="C10">
        <v>25575.416824144901</v>
      </c>
      <c r="D10">
        <v>639.38542060362249</v>
      </c>
      <c r="E10">
        <v>101.13457325015716</v>
      </c>
      <c r="F10" s="35" t="s">
        <v>10</v>
      </c>
    </row>
    <row r="11" spans="1:6" x14ac:dyDescent="0.25">
      <c r="A11" t="s">
        <v>32</v>
      </c>
      <c r="B11" t="s">
        <v>38</v>
      </c>
      <c r="C11">
        <v>57828.875937205827</v>
      </c>
      <c r="D11">
        <v>1445.7218984301458</v>
      </c>
      <c r="E11">
        <v>279.89616935056489</v>
      </c>
      <c r="F11" s="35" t="s">
        <v>11</v>
      </c>
    </row>
    <row r="12" spans="1:6" x14ac:dyDescent="0.25">
      <c r="A12" t="s">
        <v>33</v>
      </c>
      <c r="B12" t="s">
        <v>34</v>
      </c>
      <c r="C12">
        <v>89351.945525099989</v>
      </c>
      <c r="D12">
        <v>2233.7986381274995</v>
      </c>
      <c r="E12">
        <v>382.30488366698347</v>
      </c>
      <c r="F12" s="35" t="s">
        <v>12</v>
      </c>
    </row>
    <row r="13" spans="1:6" x14ac:dyDescent="0.25">
      <c r="A13" t="s">
        <v>33</v>
      </c>
      <c r="B13" t="s">
        <v>35</v>
      </c>
      <c r="C13">
        <v>6617.0339419999991</v>
      </c>
      <c r="D13">
        <v>165.42584854999998</v>
      </c>
      <c r="E13">
        <v>82.59744599717439</v>
      </c>
      <c r="F13" s="35" t="s">
        <v>13</v>
      </c>
    </row>
    <row r="14" spans="1:6" x14ac:dyDescent="0.25">
      <c r="A14" t="s">
        <v>33</v>
      </c>
      <c r="B14" t="s">
        <v>42</v>
      </c>
      <c r="C14">
        <v>27678.424255000002</v>
      </c>
      <c r="D14">
        <v>691.960606375</v>
      </c>
      <c r="E14">
        <v>166.82623241609812</v>
      </c>
      <c r="F14" s="35" t="s">
        <v>14</v>
      </c>
    </row>
    <row r="15" spans="1:6" x14ac:dyDescent="0.25">
      <c r="A15" t="s">
        <v>33</v>
      </c>
      <c r="B15" t="s">
        <v>37</v>
      </c>
      <c r="C15">
        <v>9734.0285607880232</v>
      </c>
      <c r="D15">
        <v>243.35071401970058</v>
      </c>
      <c r="E15">
        <v>69.759776569700207</v>
      </c>
      <c r="F15" s="35" t="s">
        <v>15</v>
      </c>
    </row>
    <row r="16" spans="1:6" x14ac:dyDescent="0.25">
      <c r="A16" t="s">
        <v>33</v>
      </c>
      <c r="B16" t="s">
        <v>38</v>
      </c>
      <c r="C16">
        <v>70549.490717111999</v>
      </c>
      <c r="D16">
        <v>1763.7372679278001</v>
      </c>
      <c r="E16">
        <v>243.56491362764615</v>
      </c>
      <c r="F16" s="43" t="s">
        <v>16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3A07-8905-4160-ACD2-B2824397DC72}">
  <dimension ref="A1:Z34"/>
  <sheetViews>
    <sheetView topLeftCell="A4" workbookViewId="0">
      <selection activeCell="L20" sqref="L20:L34"/>
    </sheetView>
  </sheetViews>
  <sheetFormatPr defaultRowHeight="15" x14ac:dyDescent="0.25"/>
  <sheetData>
    <row r="1" spans="1:23" ht="90" x14ac:dyDescent="0.25">
      <c r="A1" s="24" t="s">
        <v>29</v>
      </c>
      <c r="B1" s="24"/>
    </row>
    <row r="2" spans="1:23" x14ac:dyDescent="0.25">
      <c r="A2" s="23" t="s">
        <v>30</v>
      </c>
      <c r="B2" s="23"/>
    </row>
    <row r="4" spans="1:23" x14ac:dyDescent="0.25">
      <c r="I4">
        <v>4747.522932773888</v>
      </c>
      <c r="J4">
        <v>430.13840287375007</v>
      </c>
      <c r="K4">
        <v>115.80226151000002</v>
      </c>
      <c r="L4">
        <v>1619.2871812833218</v>
      </c>
      <c r="M4">
        <v>4225.3001715590381</v>
      </c>
      <c r="N4">
        <v>1933.5124760947224</v>
      </c>
      <c r="O4">
        <v>166.86435803125002</v>
      </c>
      <c r="P4">
        <v>400.20551106250002</v>
      </c>
      <c r="Q4">
        <v>639.38542060362249</v>
      </c>
      <c r="R4">
        <v>1445.7218984301458</v>
      </c>
      <c r="S4">
        <v>2233.7986381274995</v>
      </c>
      <c r="T4">
        <v>165.42584854999998</v>
      </c>
      <c r="U4">
        <v>691.960606375</v>
      </c>
      <c r="V4">
        <v>243.35071401970058</v>
      </c>
      <c r="W4">
        <v>1763.7372679278001</v>
      </c>
    </row>
    <row r="6" spans="1:23" x14ac:dyDescent="0.25">
      <c r="I6">
        <v>4747.522932773888</v>
      </c>
      <c r="L6">
        <v>16008.2204425</v>
      </c>
      <c r="M6">
        <v>25575.416824144901</v>
      </c>
      <c r="N6">
        <v>57828.875937205827</v>
      </c>
      <c r="O6">
        <v>89351.945525099989</v>
      </c>
      <c r="P6">
        <v>6617.0339419999991</v>
      </c>
      <c r="Q6">
        <v>27678.424255000002</v>
      </c>
      <c r="R6">
        <v>9734.0285607880232</v>
      </c>
      <c r="S6">
        <v>70549.490717111999</v>
      </c>
    </row>
    <row r="7" spans="1:23" x14ac:dyDescent="0.25">
      <c r="I7">
        <v>430.13840287375007</v>
      </c>
      <c r="L7">
        <v>16008.2204425</v>
      </c>
    </row>
    <row r="8" spans="1:23" x14ac:dyDescent="0.25">
      <c r="I8">
        <v>115.80226151000002</v>
      </c>
      <c r="L8">
        <v>25575.416824144901</v>
      </c>
    </row>
    <row r="9" spans="1:23" x14ac:dyDescent="0.25">
      <c r="I9">
        <v>1619.2871812833218</v>
      </c>
      <c r="L9">
        <v>57828.875937205827</v>
      </c>
    </row>
    <row r="10" spans="1:23" x14ac:dyDescent="0.25">
      <c r="I10">
        <v>4225.3001715590381</v>
      </c>
      <c r="L10">
        <v>89351.945525099989</v>
      </c>
    </row>
    <row r="11" spans="1:23" x14ac:dyDescent="0.25">
      <c r="I11">
        <v>1933.5124760947224</v>
      </c>
      <c r="L11">
        <v>6617.0339419999991</v>
      </c>
    </row>
    <row r="12" spans="1:23" x14ac:dyDescent="0.25">
      <c r="I12">
        <v>166.86435803125002</v>
      </c>
      <c r="L12">
        <v>27678.424255000002</v>
      </c>
    </row>
    <row r="13" spans="1:23" x14ac:dyDescent="0.25">
      <c r="I13">
        <v>400.20551106250002</v>
      </c>
      <c r="L13">
        <v>9734.0285607880232</v>
      </c>
    </row>
    <row r="14" spans="1:23" x14ac:dyDescent="0.25">
      <c r="I14">
        <v>639.38542060362249</v>
      </c>
      <c r="L14">
        <v>70549.490717111999</v>
      </c>
    </row>
    <row r="15" spans="1:23" x14ac:dyDescent="0.25">
      <c r="I15">
        <v>1445.7218984301458</v>
      </c>
    </row>
    <row r="16" spans="1:23" x14ac:dyDescent="0.25">
      <c r="I16">
        <v>2233.7986381274995</v>
      </c>
    </row>
    <row r="17" spans="9:26" x14ac:dyDescent="0.25">
      <c r="I17">
        <v>165.42584854999998</v>
      </c>
    </row>
    <row r="18" spans="9:26" x14ac:dyDescent="0.25">
      <c r="I18">
        <v>691.960606375</v>
      </c>
      <c r="L18">
        <v>189900.91731095553</v>
      </c>
      <c r="M18">
        <v>17205.536114950002</v>
      </c>
      <c r="N18">
        <v>4632.0904604000007</v>
      </c>
      <c r="O18">
        <v>64771.487251332874</v>
      </c>
      <c r="P18">
        <v>169012.00686236151</v>
      </c>
      <c r="Q18">
        <v>77340.499043788892</v>
      </c>
      <c r="R18">
        <v>6674.574321250001</v>
      </c>
      <c r="S18">
        <v>16008.2204425</v>
      </c>
      <c r="T18">
        <v>25575.416824144901</v>
      </c>
      <c r="U18">
        <v>57828.875937205827</v>
      </c>
      <c r="V18">
        <v>89351.945525099989</v>
      </c>
      <c r="W18">
        <v>6617.0339419999991</v>
      </c>
      <c r="X18">
        <v>27678.424255000002</v>
      </c>
      <c r="Y18">
        <v>9734.0285607880232</v>
      </c>
      <c r="Z18">
        <v>70549.490717111999</v>
      </c>
    </row>
    <row r="19" spans="9:26" x14ac:dyDescent="0.25">
      <c r="I19">
        <v>243.35071401970058</v>
      </c>
    </row>
    <row r="20" spans="9:26" x14ac:dyDescent="0.25">
      <c r="I20">
        <v>1763.7372679278001</v>
      </c>
      <c r="L20">
        <v>189900.91731095553</v>
      </c>
    </row>
    <row r="21" spans="9:26" x14ac:dyDescent="0.25">
      <c r="L21">
        <v>17205.536114950002</v>
      </c>
    </row>
    <row r="22" spans="9:26" x14ac:dyDescent="0.25">
      <c r="L22">
        <v>4632.0904604000007</v>
      </c>
    </row>
    <row r="23" spans="9:26" x14ac:dyDescent="0.25">
      <c r="L23">
        <v>64771.487251332874</v>
      </c>
    </row>
    <row r="24" spans="9:26" x14ac:dyDescent="0.25">
      <c r="L24">
        <v>169012.00686236151</v>
      </c>
    </row>
    <row r="25" spans="9:26" x14ac:dyDescent="0.25">
      <c r="L25">
        <v>77340.499043788892</v>
      </c>
    </row>
    <row r="26" spans="9:26" x14ac:dyDescent="0.25">
      <c r="L26">
        <v>6674.574321250001</v>
      </c>
    </row>
    <row r="27" spans="9:26" x14ac:dyDescent="0.25">
      <c r="L27">
        <v>16008.2204425</v>
      </c>
    </row>
    <row r="28" spans="9:26" x14ac:dyDescent="0.25">
      <c r="L28">
        <v>25575.416824144901</v>
      </c>
    </row>
    <row r="29" spans="9:26" x14ac:dyDescent="0.25">
      <c r="L29">
        <v>57828.875937205827</v>
      </c>
    </row>
    <row r="30" spans="9:26" x14ac:dyDescent="0.25">
      <c r="L30">
        <v>89351.945525099989</v>
      </c>
    </row>
    <row r="31" spans="9:26" x14ac:dyDescent="0.25">
      <c r="L31">
        <v>6617.0339419999991</v>
      </c>
    </row>
    <row r="32" spans="9:26" x14ac:dyDescent="0.25">
      <c r="L32">
        <v>27678.424255000002</v>
      </c>
    </row>
    <row r="33" spans="12:12" x14ac:dyDescent="0.25">
      <c r="L33">
        <v>9734.0285607880232</v>
      </c>
    </row>
    <row r="34" spans="12:12" x14ac:dyDescent="0.25">
      <c r="L34">
        <v>70549.490717111999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D065-F00C-4598-BE53-3FF9B5309245}">
  <dimension ref="A1:J402"/>
  <sheetViews>
    <sheetView workbookViewId="0">
      <pane xSplit="13" ySplit="2" topLeftCell="N3" activePane="bottomRight" state="frozen"/>
      <selection pane="topRight" activeCell="M1" sqref="M1"/>
      <selection pane="bottomLeft" activeCell="A3" sqref="A3"/>
      <selection pane="bottomRight" activeCell="F15" sqref="F15"/>
    </sheetView>
  </sheetViews>
  <sheetFormatPr defaultRowHeight="15" x14ac:dyDescent="0.25"/>
  <cols>
    <col min="1" max="1" width="10.85546875" style="51" bestFit="1" customWidth="1"/>
    <col min="2" max="2" width="8" style="51" customWidth="1"/>
    <col min="3" max="3" width="9.42578125" customWidth="1"/>
    <col min="4" max="4" width="13.140625" customWidth="1"/>
    <col min="5" max="5" width="18" customWidth="1"/>
    <col min="8" max="8" width="10.7109375" bestFit="1" customWidth="1"/>
    <col min="9" max="9" width="11.5703125" bestFit="1" customWidth="1"/>
  </cols>
  <sheetData>
    <row r="1" spans="1:10" s="25" customFormat="1" ht="45" customHeight="1" x14ac:dyDescent="0.25">
      <c r="A1" s="48"/>
      <c r="B1" s="48"/>
    </row>
    <row r="2" spans="1:10" s="25" customFormat="1" ht="60" x14ac:dyDescent="0.25">
      <c r="A2" s="49" t="s">
        <v>49</v>
      </c>
      <c r="B2" s="50" t="s">
        <v>48</v>
      </c>
      <c r="C2" s="25" t="s">
        <v>40</v>
      </c>
      <c r="D2" s="25" t="s">
        <v>41</v>
      </c>
      <c r="E2" s="25" t="s">
        <v>39</v>
      </c>
    </row>
    <row r="3" spans="1:10" x14ac:dyDescent="0.25">
      <c r="B3" s="23">
        <v>1</v>
      </c>
      <c r="C3" s="23" t="s">
        <v>34</v>
      </c>
      <c r="D3" s="23" t="s">
        <v>32</v>
      </c>
      <c r="E3" s="36">
        <v>2023.6031200000002</v>
      </c>
      <c r="G3" s="23"/>
      <c r="H3" s="23"/>
      <c r="I3" s="23"/>
      <c r="J3" s="36"/>
    </row>
    <row r="4" spans="1:10" x14ac:dyDescent="0.25">
      <c r="B4">
        <v>2</v>
      </c>
      <c r="C4" s="23" t="s">
        <v>34</v>
      </c>
      <c r="D4" s="23" t="s">
        <v>32</v>
      </c>
      <c r="E4" s="37">
        <v>1993.6422</v>
      </c>
      <c r="H4" s="23"/>
      <c r="I4" s="23"/>
      <c r="J4" s="37"/>
    </row>
    <row r="5" spans="1:10" x14ac:dyDescent="0.25">
      <c r="B5" s="23">
        <v>3</v>
      </c>
      <c r="C5" s="23" t="s">
        <v>34</v>
      </c>
      <c r="D5" s="23" t="s">
        <v>32</v>
      </c>
      <c r="E5" s="36">
        <v>1988.40256</v>
      </c>
      <c r="G5" s="23"/>
      <c r="H5" s="23"/>
      <c r="I5" s="23"/>
      <c r="J5" s="36"/>
    </row>
    <row r="6" spans="1:10" x14ac:dyDescent="0.25">
      <c r="B6">
        <v>4</v>
      </c>
      <c r="C6" s="23" t="s">
        <v>34</v>
      </c>
      <c r="D6" s="23" t="s">
        <v>32</v>
      </c>
      <c r="E6" s="37">
        <v>2101.9069500000001</v>
      </c>
      <c r="H6" s="23"/>
      <c r="I6" s="23"/>
      <c r="J6" s="37"/>
    </row>
    <row r="7" spans="1:10" x14ac:dyDescent="0.25">
      <c r="B7" s="23">
        <v>5</v>
      </c>
      <c r="C7" s="23" t="s">
        <v>34</v>
      </c>
      <c r="D7" s="23" t="s">
        <v>32</v>
      </c>
      <c r="E7" s="36">
        <v>1963.2518600000001</v>
      </c>
      <c r="G7" s="23"/>
      <c r="H7" s="23"/>
      <c r="I7" s="23"/>
      <c r="J7" s="36"/>
    </row>
    <row r="8" spans="1:10" x14ac:dyDescent="0.25">
      <c r="B8">
        <v>6</v>
      </c>
      <c r="C8" s="23" t="s">
        <v>34</v>
      </c>
      <c r="D8" s="23" t="s">
        <v>32</v>
      </c>
      <c r="E8" s="37">
        <v>2550.3282000000004</v>
      </c>
      <c r="H8" s="23"/>
      <c r="I8" s="23"/>
      <c r="J8" s="37"/>
    </row>
    <row r="9" spans="1:10" x14ac:dyDescent="0.25">
      <c r="B9" s="23">
        <v>7</v>
      </c>
      <c r="C9" s="23" t="s">
        <v>34</v>
      </c>
      <c r="D9" s="23" t="s">
        <v>32</v>
      </c>
      <c r="E9" s="36">
        <v>2523.0937599999997</v>
      </c>
      <c r="G9" s="23"/>
      <c r="H9" s="23"/>
      <c r="I9" s="23"/>
      <c r="J9" s="36"/>
    </row>
    <row r="10" spans="1:10" x14ac:dyDescent="0.25">
      <c r="B10">
        <v>8</v>
      </c>
      <c r="C10" s="23" t="s">
        <v>34</v>
      </c>
      <c r="D10" s="23" t="s">
        <v>32</v>
      </c>
      <c r="E10" s="37">
        <v>2415.9465</v>
      </c>
      <c r="H10" s="23"/>
      <c r="I10" s="23"/>
      <c r="J10" s="37"/>
    </row>
    <row r="11" spans="1:10" x14ac:dyDescent="0.25">
      <c r="B11" s="23">
        <v>9</v>
      </c>
      <c r="C11" s="23" t="s">
        <v>34</v>
      </c>
      <c r="D11" s="23" t="s">
        <v>32</v>
      </c>
      <c r="E11" s="36">
        <v>2499.2027699999999</v>
      </c>
      <c r="G11" s="23"/>
      <c r="H11" s="23"/>
      <c r="I11" s="23"/>
      <c r="J11" s="36"/>
    </row>
    <row r="12" spans="1:10" x14ac:dyDescent="0.25">
      <c r="B12">
        <v>10</v>
      </c>
      <c r="C12" s="23" t="s">
        <v>34</v>
      </c>
      <c r="D12" s="23" t="s">
        <v>32</v>
      </c>
      <c r="E12" s="37">
        <v>2412.8745299999996</v>
      </c>
      <c r="H12" s="23"/>
      <c r="I12" s="23"/>
      <c r="J12" s="37"/>
    </row>
    <row r="13" spans="1:10" x14ac:dyDescent="0.25">
      <c r="B13" s="23">
        <v>11</v>
      </c>
      <c r="C13" s="23" t="s">
        <v>34</v>
      </c>
      <c r="D13" s="23" t="s">
        <v>32</v>
      </c>
      <c r="E13" s="36">
        <v>2535.5245499999996</v>
      </c>
      <c r="G13" s="23"/>
      <c r="H13" s="23"/>
      <c r="I13" s="23"/>
      <c r="J13" s="36"/>
    </row>
    <row r="14" spans="1:10" x14ac:dyDescent="0.25">
      <c r="B14">
        <v>12</v>
      </c>
      <c r="C14" s="23" t="s">
        <v>34</v>
      </c>
      <c r="D14" s="23" t="s">
        <v>32</v>
      </c>
      <c r="E14" s="37">
        <v>2341.1102000000001</v>
      </c>
      <c r="H14" s="23"/>
      <c r="I14" s="23"/>
      <c r="J14" s="37"/>
    </row>
    <row r="15" spans="1:10" x14ac:dyDescent="0.25">
      <c r="B15" s="23">
        <v>13</v>
      </c>
      <c r="C15" s="23" t="s">
        <v>34</v>
      </c>
      <c r="D15" s="23" t="s">
        <v>32</v>
      </c>
      <c r="E15" s="36">
        <v>1695.71072</v>
      </c>
      <c r="G15" s="23"/>
      <c r="H15" s="23"/>
      <c r="I15" s="23"/>
      <c r="J15" s="36"/>
    </row>
    <row r="16" spans="1:10" x14ac:dyDescent="0.25">
      <c r="B16">
        <v>14</v>
      </c>
      <c r="C16" s="23" t="s">
        <v>34</v>
      </c>
      <c r="D16" s="23" t="s">
        <v>32</v>
      </c>
      <c r="E16" s="37">
        <v>2277.353325</v>
      </c>
      <c r="H16" s="23"/>
      <c r="I16" s="23"/>
      <c r="J16" s="37"/>
    </row>
    <row r="17" spans="2:10" x14ac:dyDescent="0.25">
      <c r="B17" s="23">
        <v>15</v>
      </c>
      <c r="C17" s="23" t="s">
        <v>34</v>
      </c>
      <c r="D17" s="23" t="s">
        <v>32</v>
      </c>
      <c r="E17" s="36">
        <v>2152.9584</v>
      </c>
      <c r="G17" s="23"/>
      <c r="H17" s="23"/>
      <c r="I17" s="23"/>
      <c r="J17" s="36"/>
    </row>
    <row r="18" spans="2:10" x14ac:dyDescent="0.25">
      <c r="B18">
        <v>16</v>
      </c>
      <c r="C18" s="23" t="s">
        <v>34</v>
      </c>
      <c r="D18" s="23" t="s">
        <v>32</v>
      </c>
      <c r="E18" s="37">
        <v>1964.38788</v>
      </c>
      <c r="H18" s="23"/>
      <c r="I18" s="23"/>
      <c r="J18" s="37"/>
    </row>
    <row r="19" spans="2:10" x14ac:dyDescent="0.25">
      <c r="B19" s="23">
        <v>17</v>
      </c>
      <c r="C19" s="23" t="s">
        <v>34</v>
      </c>
      <c r="D19" s="23" t="s">
        <v>32</v>
      </c>
      <c r="E19" s="36">
        <v>1675.8530000000001</v>
      </c>
      <c r="G19" s="23"/>
      <c r="H19" s="23"/>
      <c r="I19" s="23"/>
      <c r="J19" s="36"/>
    </row>
    <row r="20" spans="2:10" x14ac:dyDescent="0.25">
      <c r="B20">
        <v>18</v>
      </c>
      <c r="C20" s="23" t="s">
        <v>34</v>
      </c>
      <c r="D20" s="23" t="s">
        <v>32</v>
      </c>
      <c r="E20" s="37">
        <v>1855.7843849999999</v>
      </c>
      <c r="H20" s="23"/>
      <c r="I20" s="23"/>
      <c r="J20" s="37"/>
    </row>
    <row r="21" spans="2:10" x14ac:dyDescent="0.25">
      <c r="B21" s="23">
        <v>19</v>
      </c>
      <c r="C21" s="23" t="s">
        <v>34</v>
      </c>
      <c r="D21" s="23" t="s">
        <v>32</v>
      </c>
      <c r="E21" s="36">
        <v>1798.1750303999997</v>
      </c>
      <c r="G21" s="23"/>
      <c r="H21" s="23"/>
      <c r="I21" s="23"/>
      <c r="J21" s="36"/>
    </row>
    <row r="22" spans="2:10" x14ac:dyDescent="0.25">
      <c r="B22">
        <v>20</v>
      </c>
      <c r="C22" s="23" t="s">
        <v>34</v>
      </c>
      <c r="D22" s="23" t="s">
        <v>32</v>
      </c>
      <c r="E22" s="37">
        <v>1891.3605</v>
      </c>
      <c r="H22" s="23"/>
      <c r="I22" s="23"/>
      <c r="J22" s="37"/>
    </row>
    <row r="23" spans="2:10" x14ac:dyDescent="0.25">
      <c r="B23" s="23">
        <v>21</v>
      </c>
      <c r="C23" s="23" t="s">
        <v>34</v>
      </c>
      <c r="D23" s="23" t="s">
        <v>32</v>
      </c>
      <c r="E23" s="36">
        <v>1868.3946000000001</v>
      </c>
      <c r="G23" s="23"/>
      <c r="H23" s="23"/>
      <c r="I23" s="23"/>
      <c r="J23" s="36"/>
    </row>
    <row r="24" spans="2:10" x14ac:dyDescent="0.25">
      <c r="B24">
        <v>22</v>
      </c>
      <c r="C24" s="23" t="s">
        <v>34</v>
      </c>
      <c r="D24" s="23" t="s">
        <v>32</v>
      </c>
      <c r="E24" s="37">
        <v>1854.1758</v>
      </c>
      <c r="H24" s="23"/>
      <c r="I24" s="23"/>
      <c r="J24" s="37"/>
    </row>
    <row r="25" spans="2:10" x14ac:dyDescent="0.25">
      <c r="B25" s="23">
        <v>23</v>
      </c>
      <c r="C25" s="23" t="s">
        <v>34</v>
      </c>
      <c r="D25" s="23" t="s">
        <v>32</v>
      </c>
      <c r="E25" s="36">
        <v>1681.4756</v>
      </c>
      <c r="G25" s="23"/>
      <c r="H25" s="23"/>
      <c r="I25" s="23"/>
      <c r="J25" s="36"/>
    </row>
    <row r="26" spans="2:10" x14ac:dyDescent="0.25">
      <c r="B26">
        <v>24</v>
      </c>
      <c r="C26" s="23" t="s">
        <v>34</v>
      </c>
      <c r="D26" s="23" t="s">
        <v>32</v>
      </c>
      <c r="E26" s="37">
        <v>1740.3929699999999</v>
      </c>
      <c r="H26" s="23"/>
      <c r="I26" s="23"/>
      <c r="J26" s="37"/>
    </row>
    <row r="27" spans="2:10" x14ac:dyDescent="0.25">
      <c r="B27" s="23">
        <v>25</v>
      </c>
      <c r="C27" s="23" t="s">
        <v>34</v>
      </c>
      <c r="D27" s="23" t="s">
        <v>32</v>
      </c>
      <c r="E27" s="36">
        <v>1495.7460000000001</v>
      </c>
      <c r="G27" s="23"/>
      <c r="H27" s="23"/>
      <c r="I27" s="23"/>
      <c r="J27" s="36"/>
    </row>
    <row r="28" spans="2:10" x14ac:dyDescent="0.25">
      <c r="B28">
        <v>26</v>
      </c>
      <c r="C28" s="23" t="s">
        <v>34</v>
      </c>
      <c r="D28" s="23" t="s">
        <v>32</v>
      </c>
      <c r="E28" s="37">
        <v>1794.8787</v>
      </c>
      <c r="H28" s="23"/>
      <c r="I28" s="23"/>
      <c r="J28" s="37"/>
    </row>
    <row r="29" spans="2:10" x14ac:dyDescent="0.25">
      <c r="B29" s="23">
        <v>27</v>
      </c>
      <c r="C29" s="23" t="s">
        <v>34</v>
      </c>
      <c r="D29" s="23" t="s">
        <v>32</v>
      </c>
      <c r="E29" s="36">
        <v>1782.7878600000001</v>
      </c>
      <c r="G29" s="23"/>
      <c r="H29" s="23"/>
      <c r="I29" s="23"/>
      <c r="J29" s="36"/>
    </row>
    <row r="30" spans="2:10" x14ac:dyDescent="0.25">
      <c r="B30">
        <v>28</v>
      </c>
      <c r="C30" s="23" t="s">
        <v>34</v>
      </c>
      <c r="D30" s="23" t="s">
        <v>32</v>
      </c>
      <c r="E30" s="37">
        <v>1666.2283200000002</v>
      </c>
      <c r="H30" s="23"/>
      <c r="I30" s="23"/>
      <c r="J30" s="37"/>
    </row>
    <row r="31" spans="2:10" x14ac:dyDescent="0.25">
      <c r="B31" s="23">
        <v>29</v>
      </c>
      <c r="C31" s="23" t="s">
        <v>34</v>
      </c>
      <c r="D31" s="23" t="s">
        <v>32</v>
      </c>
      <c r="E31" s="36">
        <v>1579.66686</v>
      </c>
      <c r="G31" s="23"/>
      <c r="H31" s="23"/>
      <c r="I31" s="23"/>
      <c r="J31" s="36"/>
    </row>
    <row r="32" spans="2:10" x14ac:dyDescent="0.25">
      <c r="B32">
        <v>30</v>
      </c>
      <c r="C32" s="23" t="s">
        <v>34</v>
      </c>
      <c r="D32" s="23" t="s">
        <v>32</v>
      </c>
      <c r="E32" s="37">
        <v>1763.3485800000001</v>
      </c>
      <c r="H32" s="23"/>
      <c r="I32" s="23"/>
      <c r="J32" s="37"/>
    </row>
    <row r="33" spans="2:10" x14ac:dyDescent="0.25">
      <c r="B33" s="23">
        <v>31</v>
      </c>
      <c r="C33" s="23" t="s">
        <v>34</v>
      </c>
      <c r="D33" s="23" t="s">
        <v>32</v>
      </c>
      <c r="E33" s="36">
        <v>1552.2661799999998</v>
      </c>
      <c r="G33" s="23"/>
      <c r="H33" s="23"/>
      <c r="I33" s="23"/>
      <c r="J33" s="36"/>
    </row>
    <row r="34" spans="2:10" x14ac:dyDescent="0.25">
      <c r="B34">
        <v>32</v>
      </c>
      <c r="C34" s="23" t="s">
        <v>34</v>
      </c>
      <c r="D34" s="23" t="s">
        <v>32</v>
      </c>
      <c r="E34" s="37">
        <v>1700.9964</v>
      </c>
      <c r="H34" s="23"/>
      <c r="I34" s="23"/>
      <c r="J34" s="37"/>
    </row>
    <row r="35" spans="2:10" x14ac:dyDescent="0.25">
      <c r="B35" s="23">
        <v>33</v>
      </c>
      <c r="C35" s="23" t="s">
        <v>34</v>
      </c>
      <c r="D35" s="23" t="s">
        <v>32</v>
      </c>
      <c r="E35" s="36">
        <v>1681.5256650000001</v>
      </c>
      <c r="G35" s="23"/>
      <c r="H35" s="23"/>
      <c r="I35" s="23"/>
      <c r="J35" s="36"/>
    </row>
    <row r="36" spans="2:10" x14ac:dyDescent="0.25">
      <c r="B36">
        <v>34</v>
      </c>
      <c r="C36" s="23" t="s">
        <v>34</v>
      </c>
      <c r="D36" s="23" t="s">
        <v>32</v>
      </c>
      <c r="E36" s="28">
        <v>1728.8695208888887</v>
      </c>
      <c r="H36" s="23"/>
      <c r="I36" s="23"/>
      <c r="J36" s="28"/>
    </row>
    <row r="37" spans="2:10" x14ac:dyDescent="0.25">
      <c r="B37" s="23">
        <v>35</v>
      </c>
      <c r="C37" s="23" t="s">
        <v>34</v>
      </c>
      <c r="D37" s="23" t="s">
        <v>32</v>
      </c>
      <c r="E37" s="27">
        <v>1781</v>
      </c>
      <c r="G37" s="23"/>
      <c r="H37" s="23"/>
      <c r="I37" s="23"/>
      <c r="J37" s="27"/>
    </row>
    <row r="38" spans="2:10" x14ac:dyDescent="0.25">
      <c r="B38">
        <v>36</v>
      </c>
      <c r="C38" s="23" t="s">
        <v>34</v>
      </c>
      <c r="D38" s="23" t="s">
        <v>32</v>
      </c>
      <c r="E38" s="28">
        <v>1696</v>
      </c>
      <c r="H38" s="23"/>
      <c r="I38" s="23"/>
      <c r="J38" s="28"/>
    </row>
    <row r="39" spans="2:10" x14ac:dyDescent="0.25">
      <c r="B39" s="23">
        <v>37</v>
      </c>
      <c r="C39" s="23" t="s">
        <v>34</v>
      </c>
      <c r="D39" s="23" t="s">
        <v>32</v>
      </c>
      <c r="E39" s="27">
        <v>2066</v>
      </c>
      <c r="G39" s="23"/>
      <c r="H39" s="23"/>
      <c r="I39" s="23"/>
      <c r="J39" s="27"/>
    </row>
    <row r="40" spans="2:10" x14ac:dyDescent="0.25">
      <c r="B40">
        <v>38</v>
      </c>
      <c r="C40" s="23" t="s">
        <v>34</v>
      </c>
      <c r="D40" s="23" t="s">
        <v>32</v>
      </c>
      <c r="E40" s="29">
        <v>1888</v>
      </c>
      <c r="H40" s="23"/>
      <c r="I40" s="23"/>
      <c r="J40" s="29"/>
    </row>
    <row r="41" spans="2:10" x14ac:dyDescent="0.25">
      <c r="B41" s="23">
        <v>39</v>
      </c>
      <c r="C41" s="23" t="s">
        <v>34</v>
      </c>
      <c r="D41" s="23" t="s">
        <v>32</v>
      </c>
      <c r="E41" s="30">
        <v>1424.8505474999999</v>
      </c>
      <c r="G41" s="23"/>
      <c r="H41" s="23"/>
      <c r="I41" s="23"/>
      <c r="J41" s="30"/>
    </row>
    <row r="42" spans="2:10" x14ac:dyDescent="0.25">
      <c r="B42" s="23">
        <v>40</v>
      </c>
      <c r="C42" s="23" t="s">
        <v>34</v>
      </c>
      <c r="D42" s="23" t="s">
        <v>32</v>
      </c>
      <c r="E42" s="32">
        <v>1933.425</v>
      </c>
      <c r="G42" s="23"/>
      <c r="H42" s="23"/>
      <c r="I42" s="23"/>
      <c r="J42" s="32"/>
    </row>
    <row r="43" spans="2:10" x14ac:dyDescent="0.25">
      <c r="B43" s="23">
        <v>1</v>
      </c>
      <c r="C43" s="23" t="s">
        <v>34</v>
      </c>
      <c r="D43" s="23" t="s">
        <v>33</v>
      </c>
      <c r="E43" s="27">
        <v>139.73391899999999</v>
      </c>
      <c r="G43" s="23"/>
      <c r="H43" s="23"/>
      <c r="I43" s="23"/>
      <c r="J43" s="27"/>
    </row>
    <row r="44" spans="2:10" x14ac:dyDescent="0.25">
      <c r="B44" s="23">
        <v>2</v>
      </c>
      <c r="C44" s="23" t="s">
        <v>34</v>
      </c>
      <c r="D44" s="23" t="s">
        <v>33</v>
      </c>
      <c r="E44" s="28">
        <v>175.08625649999999</v>
      </c>
      <c r="G44" s="23"/>
      <c r="H44" s="23"/>
      <c r="I44" s="23"/>
      <c r="J44" s="28"/>
    </row>
    <row r="45" spans="2:10" x14ac:dyDescent="0.25">
      <c r="B45" s="23">
        <v>3</v>
      </c>
      <c r="C45" s="23" t="s">
        <v>34</v>
      </c>
      <c r="D45" s="23" t="s">
        <v>33</v>
      </c>
      <c r="E45" s="27">
        <v>150.87957299999999</v>
      </c>
      <c r="G45" s="23"/>
      <c r="H45" s="23"/>
      <c r="I45" s="23"/>
      <c r="J45" s="27"/>
    </row>
    <row r="46" spans="2:10" x14ac:dyDescent="0.25">
      <c r="B46" s="23">
        <v>4</v>
      </c>
      <c r="C46" s="23" t="s">
        <v>34</v>
      </c>
      <c r="D46" s="23" t="s">
        <v>33</v>
      </c>
      <c r="E46" s="28">
        <v>173.04441</v>
      </c>
      <c r="G46" s="23"/>
      <c r="H46" s="23"/>
      <c r="I46" s="23"/>
      <c r="J46" s="28"/>
    </row>
    <row r="47" spans="2:10" x14ac:dyDescent="0.25">
      <c r="B47" s="23">
        <v>5</v>
      </c>
      <c r="C47" s="23" t="s">
        <v>34</v>
      </c>
      <c r="D47" s="23" t="s">
        <v>33</v>
      </c>
      <c r="E47" s="27">
        <v>86.009219999999999</v>
      </c>
      <c r="G47" s="23"/>
      <c r="H47" s="23"/>
      <c r="I47" s="23"/>
      <c r="J47" s="27"/>
    </row>
    <row r="48" spans="2:10" x14ac:dyDescent="0.25">
      <c r="B48" s="23">
        <v>6</v>
      </c>
      <c r="C48" s="23" t="s">
        <v>34</v>
      </c>
      <c r="D48" s="23" t="s">
        <v>33</v>
      </c>
      <c r="E48" s="28">
        <v>120.54378</v>
      </c>
      <c r="G48" s="23"/>
      <c r="H48" s="23"/>
      <c r="I48" s="23"/>
      <c r="J48" s="28"/>
    </row>
    <row r="49" spans="2:10" x14ac:dyDescent="0.25">
      <c r="B49" s="23">
        <v>7</v>
      </c>
      <c r="C49" s="23" t="s">
        <v>34</v>
      </c>
      <c r="D49" s="23" t="s">
        <v>33</v>
      </c>
      <c r="E49" s="27">
        <v>110.25677</v>
      </c>
      <c r="G49" s="23"/>
      <c r="H49" s="23"/>
      <c r="I49" s="23"/>
      <c r="J49" s="27"/>
    </row>
    <row r="50" spans="2:10" x14ac:dyDescent="0.25">
      <c r="B50" s="23">
        <v>8</v>
      </c>
      <c r="C50" s="23" t="s">
        <v>34</v>
      </c>
      <c r="D50" s="23" t="s">
        <v>33</v>
      </c>
      <c r="E50" s="28">
        <v>111.94958700000001</v>
      </c>
      <c r="G50" s="23"/>
      <c r="H50" s="23"/>
      <c r="I50" s="23"/>
      <c r="J50" s="28"/>
    </row>
    <row r="51" spans="2:10" x14ac:dyDescent="0.25">
      <c r="B51" s="23">
        <v>9</v>
      </c>
      <c r="C51" s="23" t="s">
        <v>34</v>
      </c>
      <c r="D51" s="23" t="s">
        <v>33</v>
      </c>
      <c r="E51" s="27">
        <v>83.026350000000008</v>
      </c>
      <c r="G51" s="23"/>
      <c r="H51" s="23"/>
      <c r="I51" s="23"/>
      <c r="J51" s="27"/>
    </row>
    <row r="52" spans="2:10" x14ac:dyDescent="0.25">
      <c r="B52" s="23">
        <v>10</v>
      </c>
      <c r="C52" s="23" t="s">
        <v>34</v>
      </c>
      <c r="D52" s="23" t="s">
        <v>33</v>
      </c>
      <c r="E52" s="28">
        <v>100.28322</v>
      </c>
      <c r="G52" s="23"/>
      <c r="H52" s="23"/>
      <c r="I52" s="23"/>
      <c r="J52" s="28"/>
    </row>
    <row r="53" spans="2:10" x14ac:dyDescent="0.25">
      <c r="B53" s="23">
        <v>11</v>
      </c>
      <c r="C53" s="23" t="s">
        <v>34</v>
      </c>
      <c r="D53" s="23" t="s">
        <v>33</v>
      </c>
      <c r="E53" s="27">
        <v>98.877690000000001</v>
      </c>
      <c r="G53" s="23"/>
      <c r="H53" s="23"/>
      <c r="I53" s="23"/>
      <c r="J53" s="27"/>
    </row>
    <row r="54" spans="2:10" x14ac:dyDescent="0.25">
      <c r="B54" s="23">
        <v>12</v>
      </c>
      <c r="C54" s="23" t="s">
        <v>34</v>
      </c>
      <c r="D54" s="23" t="s">
        <v>33</v>
      </c>
      <c r="E54" s="28">
        <v>93.599550000000008</v>
      </c>
      <c r="G54" s="23"/>
      <c r="H54" s="23"/>
      <c r="I54" s="23"/>
      <c r="J54" s="28"/>
    </row>
    <row r="55" spans="2:10" x14ac:dyDescent="0.25">
      <c r="B55" s="23">
        <v>13</v>
      </c>
      <c r="C55" s="23" t="s">
        <v>34</v>
      </c>
      <c r="D55" s="23" t="s">
        <v>33</v>
      </c>
      <c r="E55" s="27">
        <v>61.825139999999998</v>
      </c>
      <c r="G55" s="23"/>
      <c r="H55" s="23"/>
      <c r="I55" s="23"/>
      <c r="J55" s="27"/>
    </row>
    <row r="56" spans="2:10" x14ac:dyDescent="0.25">
      <c r="B56" s="23">
        <v>14</v>
      </c>
      <c r="C56" s="23" t="s">
        <v>34</v>
      </c>
      <c r="D56" s="23" t="s">
        <v>33</v>
      </c>
      <c r="E56" s="28">
        <v>94.512991999999997</v>
      </c>
      <c r="G56" s="23"/>
      <c r="H56" s="23"/>
      <c r="I56" s="23"/>
      <c r="J56" s="28"/>
    </row>
    <row r="57" spans="2:10" x14ac:dyDescent="0.25">
      <c r="B57" s="23">
        <v>15</v>
      </c>
      <c r="C57" s="23" t="s">
        <v>34</v>
      </c>
      <c r="D57" s="23" t="s">
        <v>33</v>
      </c>
      <c r="E57" s="27">
        <v>94.451864</v>
      </c>
      <c r="G57" s="23"/>
      <c r="H57" s="23"/>
      <c r="I57" s="23"/>
      <c r="J57" s="27"/>
    </row>
    <row r="58" spans="2:10" x14ac:dyDescent="0.25">
      <c r="B58" s="23">
        <v>16</v>
      </c>
      <c r="C58" s="23" t="s">
        <v>34</v>
      </c>
      <c r="D58" s="23" t="s">
        <v>33</v>
      </c>
      <c r="E58" s="28">
        <v>97.934850000000012</v>
      </c>
      <c r="G58" s="23"/>
      <c r="H58" s="23"/>
      <c r="I58" s="23"/>
      <c r="J58" s="28"/>
    </row>
    <row r="59" spans="2:10" x14ac:dyDescent="0.25">
      <c r="B59" s="23">
        <v>17</v>
      </c>
      <c r="C59" s="23" t="s">
        <v>34</v>
      </c>
      <c r="D59" s="23" t="s">
        <v>33</v>
      </c>
      <c r="E59" s="27">
        <v>77.199210000000008</v>
      </c>
      <c r="G59" s="23"/>
      <c r="H59" s="23"/>
      <c r="I59" s="23"/>
      <c r="J59" s="27"/>
    </row>
    <row r="60" spans="2:10" x14ac:dyDescent="0.25">
      <c r="B60" s="23">
        <v>18</v>
      </c>
      <c r="C60" s="23" t="s">
        <v>34</v>
      </c>
      <c r="D60" s="23" t="s">
        <v>33</v>
      </c>
      <c r="E60" s="28">
        <v>78.092352000000005</v>
      </c>
      <c r="G60" s="23"/>
      <c r="H60" s="23"/>
      <c r="I60" s="23"/>
      <c r="J60" s="28"/>
    </row>
    <row r="61" spans="2:10" x14ac:dyDescent="0.25">
      <c r="B61" s="23">
        <v>19</v>
      </c>
      <c r="C61" s="23" t="s">
        <v>34</v>
      </c>
      <c r="D61" s="23" t="s">
        <v>33</v>
      </c>
      <c r="E61" s="27">
        <v>67.75424000000001</v>
      </c>
      <c r="G61" s="23"/>
      <c r="H61" s="23"/>
      <c r="I61" s="23"/>
      <c r="J61" s="27"/>
    </row>
    <row r="62" spans="2:10" x14ac:dyDescent="0.25">
      <c r="B62" s="23">
        <v>20</v>
      </c>
      <c r="C62" s="23" t="s">
        <v>34</v>
      </c>
      <c r="D62" s="23" t="s">
        <v>33</v>
      </c>
      <c r="E62" s="28">
        <v>89.955908499999993</v>
      </c>
      <c r="G62" s="23"/>
      <c r="H62" s="23"/>
      <c r="I62" s="23"/>
      <c r="J62" s="28"/>
    </row>
    <row r="63" spans="2:10" x14ac:dyDescent="0.25">
      <c r="B63" s="23">
        <v>21</v>
      </c>
      <c r="C63" s="23" t="s">
        <v>34</v>
      </c>
      <c r="D63" s="23" t="s">
        <v>33</v>
      </c>
      <c r="E63" s="27">
        <v>98.013397500000011</v>
      </c>
      <c r="G63" s="23"/>
      <c r="H63" s="23"/>
      <c r="I63" s="23"/>
      <c r="J63" s="27"/>
    </row>
    <row r="64" spans="2:10" x14ac:dyDescent="0.25">
      <c r="B64" s="23">
        <v>22</v>
      </c>
      <c r="C64" s="23" t="s">
        <v>34</v>
      </c>
      <c r="D64" s="23" t="s">
        <v>33</v>
      </c>
      <c r="E64" s="28">
        <v>139.61579999999998</v>
      </c>
      <c r="G64" s="23"/>
      <c r="H64" s="23"/>
      <c r="I64" s="23"/>
      <c r="J64" s="28"/>
    </row>
    <row r="65" spans="2:10" x14ac:dyDescent="0.25">
      <c r="B65" s="23">
        <v>23</v>
      </c>
      <c r="C65" s="23" t="s">
        <v>34</v>
      </c>
      <c r="D65" s="23" t="s">
        <v>33</v>
      </c>
      <c r="E65" s="27">
        <v>140.295852</v>
      </c>
      <c r="G65" s="23"/>
      <c r="H65" s="23"/>
      <c r="I65" s="23"/>
      <c r="J65" s="27"/>
    </row>
    <row r="66" spans="2:10" x14ac:dyDescent="0.25">
      <c r="B66" s="23">
        <v>24</v>
      </c>
      <c r="C66" s="23" t="s">
        <v>34</v>
      </c>
      <c r="D66" s="23" t="s">
        <v>33</v>
      </c>
      <c r="E66" s="28">
        <v>139.60201749999999</v>
      </c>
      <c r="G66" s="23"/>
      <c r="H66" s="23"/>
      <c r="I66" s="23"/>
      <c r="J66" s="28"/>
    </row>
    <row r="67" spans="2:10" x14ac:dyDescent="0.25">
      <c r="B67" s="23">
        <v>25</v>
      </c>
      <c r="C67" s="23" t="s">
        <v>34</v>
      </c>
      <c r="D67" s="23" t="s">
        <v>33</v>
      </c>
      <c r="E67" s="27">
        <v>172.70027999999999</v>
      </c>
      <c r="G67" s="23"/>
      <c r="H67" s="23"/>
      <c r="I67" s="23"/>
      <c r="J67" s="27"/>
    </row>
    <row r="68" spans="2:10" x14ac:dyDescent="0.25">
      <c r="B68" s="23">
        <v>26</v>
      </c>
      <c r="C68" s="23" t="s">
        <v>34</v>
      </c>
      <c r="D68" s="23" t="s">
        <v>33</v>
      </c>
      <c r="E68" s="28">
        <v>229.67278250000001</v>
      </c>
      <c r="G68" s="23"/>
      <c r="H68" s="23"/>
      <c r="I68" s="23"/>
      <c r="J68" s="28"/>
    </row>
    <row r="69" spans="2:10" x14ac:dyDescent="0.25">
      <c r="B69" s="23">
        <v>27</v>
      </c>
      <c r="C69" s="23" t="s">
        <v>34</v>
      </c>
      <c r="D69" s="23" t="s">
        <v>33</v>
      </c>
      <c r="E69" s="27">
        <v>286.15982000000002</v>
      </c>
      <c r="G69" s="23"/>
      <c r="H69" s="23"/>
      <c r="I69" s="23"/>
      <c r="J69" s="27"/>
    </row>
    <row r="70" spans="2:10" x14ac:dyDescent="0.25">
      <c r="B70" s="23">
        <v>28</v>
      </c>
      <c r="C70" s="23" t="s">
        <v>34</v>
      </c>
      <c r="D70" s="23" t="s">
        <v>33</v>
      </c>
      <c r="E70" s="28">
        <v>259.07791250000002</v>
      </c>
      <c r="G70" s="23"/>
      <c r="H70" s="23"/>
      <c r="I70" s="23"/>
      <c r="J70" s="28"/>
    </row>
    <row r="71" spans="2:10" x14ac:dyDescent="0.25">
      <c r="B71" s="23">
        <v>29</v>
      </c>
      <c r="C71" s="23" t="s">
        <v>34</v>
      </c>
      <c r="D71" s="23" t="s">
        <v>33</v>
      </c>
      <c r="E71" s="27">
        <v>309.37920000000003</v>
      </c>
      <c r="G71" s="23"/>
      <c r="H71" s="23"/>
      <c r="I71" s="23"/>
      <c r="J71" s="27"/>
    </row>
    <row r="72" spans="2:10" x14ac:dyDescent="0.25">
      <c r="B72" s="23">
        <v>30</v>
      </c>
      <c r="C72" s="23" t="s">
        <v>34</v>
      </c>
      <c r="D72" s="23" t="s">
        <v>33</v>
      </c>
      <c r="E72" s="28">
        <v>304.28836999999999</v>
      </c>
      <c r="G72" s="23"/>
      <c r="H72" s="23"/>
      <c r="I72" s="23"/>
      <c r="J72" s="28"/>
    </row>
    <row r="73" spans="2:10" x14ac:dyDescent="0.25">
      <c r="B73" s="23">
        <v>31</v>
      </c>
      <c r="C73" s="23" t="s">
        <v>34</v>
      </c>
      <c r="D73" s="23" t="s">
        <v>33</v>
      </c>
      <c r="E73" s="27">
        <v>314</v>
      </c>
      <c r="G73" s="23"/>
      <c r="H73" s="23"/>
      <c r="I73" s="23"/>
      <c r="J73" s="27"/>
    </row>
    <row r="74" spans="2:10" x14ac:dyDescent="0.25">
      <c r="B74" s="23">
        <v>32</v>
      </c>
      <c r="C74" s="23" t="s">
        <v>34</v>
      </c>
      <c r="D74" s="23" t="s">
        <v>33</v>
      </c>
      <c r="E74" s="28">
        <v>281</v>
      </c>
      <c r="G74" s="23"/>
      <c r="H74" s="23"/>
      <c r="I74" s="23"/>
      <c r="J74" s="28"/>
    </row>
    <row r="75" spans="2:10" x14ac:dyDescent="0.25">
      <c r="B75" s="23">
        <v>33</v>
      </c>
      <c r="C75" s="23" t="s">
        <v>34</v>
      </c>
      <c r="D75" s="23" t="s">
        <v>33</v>
      </c>
      <c r="E75" s="27">
        <v>280</v>
      </c>
      <c r="G75" s="23"/>
      <c r="H75" s="23"/>
      <c r="I75" s="23"/>
      <c r="J75" s="27"/>
    </row>
    <row r="76" spans="2:10" x14ac:dyDescent="0.25">
      <c r="B76" s="23">
        <v>34</v>
      </c>
      <c r="C76" s="23" t="s">
        <v>34</v>
      </c>
      <c r="D76" s="23" t="s">
        <v>33</v>
      </c>
      <c r="E76" s="28">
        <v>277</v>
      </c>
      <c r="G76" s="23"/>
      <c r="H76" s="23"/>
      <c r="I76" s="23"/>
      <c r="J76" s="28"/>
    </row>
    <row r="77" spans="2:10" x14ac:dyDescent="0.25">
      <c r="B77" s="23">
        <v>35</v>
      </c>
      <c r="C77" s="23" t="s">
        <v>34</v>
      </c>
      <c r="D77" s="23" t="s">
        <v>33</v>
      </c>
      <c r="E77" s="27">
        <v>285</v>
      </c>
      <c r="G77" s="23"/>
      <c r="H77" s="23"/>
      <c r="I77" s="23"/>
      <c r="J77" s="27"/>
    </row>
    <row r="78" spans="2:10" x14ac:dyDescent="0.25">
      <c r="B78" s="23">
        <v>36</v>
      </c>
      <c r="C78" s="23" t="s">
        <v>34</v>
      </c>
      <c r="D78" s="23" t="s">
        <v>33</v>
      </c>
      <c r="E78" s="28">
        <v>304</v>
      </c>
      <c r="G78" s="23"/>
      <c r="H78" s="23"/>
      <c r="I78" s="23"/>
      <c r="J78" s="28"/>
    </row>
    <row r="79" spans="2:10" x14ac:dyDescent="0.25">
      <c r="B79" s="23">
        <v>37</v>
      </c>
      <c r="C79" s="23" t="s">
        <v>34</v>
      </c>
      <c r="D79" s="23" t="s">
        <v>33</v>
      </c>
      <c r="E79" s="27">
        <v>192</v>
      </c>
      <c r="G79" s="23"/>
      <c r="H79" s="23"/>
      <c r="I79" s="23"/>
      <c r="J79" s="27"/>
    </row>
    <row r="80" spans="2:10" x14ac:dyDescent="0.25">
      <c r="B80" s="23">
        <v>38</v>
      </c>
      <c r="C80" s="23" t="s">
        <v>34</v>
      </c>
      <c r="D80" s="23" t="s">
        <v>33</v>
      </c>
      <c r="E80" s="29">
        <v>202</v>
      </c>
      <c r="G80" s="23"/>
      <c r="H80" s="23"/>
      <c r="I80" s="23"/>
      <c r="J80" s="29"/>
    </row>
    <row r="81" spans="2:10" x14ac:dyDescent="0.25">
      <c r="B81" s="23">
        <v>39</v>
      </c>
      <c r="C81" s="23" t="s">
        <v>34</v>
      </c>
      <c r="D81" s="23" t="s">
        <v>33</v>
      </c>
      <c r="E81" s="30">
        <v>109.89778800000001</v>
      </c>
      <c r="G81" s="23"/>
      <c r="H81" s="23"/>
      <c r="I81" s="23"/>
      <c r="J81" s="30"/>
    </row>
    <row r="82" spans="2:10" x14ac:dyDescent="0.25">
      <c r="B82" s="23">
        <v>40</v>
      </c>
      <c r="C82" s="23" t="s">
        <v>34</v>
      </c>
      <c r="D82" s="23" t="s">
        <v>33</v>
      </c>
      <c r="E82" s="32">
        <v>188.31384</v>
      </c>
      <c r="G82" s="23"/>
      <c r="H82" s="23"/>
      <c r="I82" s="23"/>
      <c r="J82" s="32"/>
    </row>
    <row r="83" spans="2:10" x14ac:dyDescent="0.25">
      <c r="B83" s="23">
        <v>1</v>
      </c>
      <c r="C83" s="23" t="s">
        <v>35</v>
      </c>
      <c r="D83" s="23" t="s">
        <v>32</v>
      </c>
      <c r="E83" s="27">
        <v>163.70242499999998</v>
      </c>
      <c r="G83" s="23"/>
      <c r="H83" s="23"/>
      <c r="I83" s="23"/>
      <c r="J83" s="27"/>
    </row>
    <row r="84" spans="2:10" x14ac:dyDescent="0.25">
      <c r="B84" s="23">
        <v>2</v>
      </c>
      <c r="C84" s="23" t="s">
        <v>35</v>
      </c>
      <c r="D84" s="23" t="s">
        <v>32</v>
      </c>
      <c r="E84" s="28">
        <v>211.76966250000001</v>
      </c>
      <c r="G84" s="23"/>
      <c r="H84" s="23"/>
      <c r="I84" s="23"/>
      <c r="J84" s="28"/>
    </row>
    <row r="85" spans="2:10" x14ac:dyDescent="0.25">
      <c r="B85" s="23">
        <v>3</v>
      </c>
      <c r="C85" s="23" t="s">
        <v>35</v>
      </c>
      <c r="D85" s="23" t="s">
        <v>32</v>
      </c>
      <c r="E85" s="27">
        <v>181.8916275</v>
      </c>
      <c r="G85" s="23"/>
      <c r="H85" s="23"/>
      <c r="I85" s="23"/>
      <c r="J85" s="27"/>
    </row>
    <row r="86" spans="2:10" x14ac:dyDescent="0.25">
      <c r="B86" s="23">
        <v>4</v>
      </c>
      <c r="C86" s="23" t="s">
        <v>35</v>
      </c>
      <c r="D86" s="23" t="s">
        <v>32</v>
      </c>
      <c r="E86" s="28">
        <v>210.25237799999999</v>
      </c>
      <c r="G86" s="23"/>
      <c r="H86" s="23"/>
      <c r="I86" s="23"/>
      <c r="J86" s="28"/>
    </row>
    <row r="87" spans="2:10" x14ac:dyDescent="0.25">
      <c r="B87" s="23">
        <v>5</v>
      </c>
      <c r="C87" s="23" t="s">
        <v>35</v>
      </c>
      <c r="D87" s="23" t="s">
        <v>32</v>
      </c>
      <c r="E87" s="27">
        <v>101.88419999999999</v>
      </c>
      <c r="G87" s="23"/>
      <c r="H87" s="23"/>
      <c r="I87" s="23"/>
      <c r="J87" s="27"/>
    </row>
    <row r="88" spans="2:10" x14ac:dyDescent="0.25">
      <c r="B88" s="23">
        <v>6</v>
      </c>
      <c r="C88" s="23" t="s">
        <v>35</v>
      </c>
      <c r="D88" s="23" t="s">
        <v>32</v>
      </c>
      <c r="E88" s="28">
        <v>160.33718999999999</v>
      </c>
      <c r="G88" s="23"/>
      <c r="H88" s="23"/>
      <c r="I88" s="23"/>
      <c r="J88" s="28"/>
    </row>
    <row r="89" spans="2:10" x14ac:dyDescent="0.25">
      <c r="B89" s="23">
        <v>7</v>
      </c>
      <c r="C89" s="23" t="s">
        <v>35</v>
      </c>
      <c r="D89" s="23" t="s">
        <v>32</v>
      </c>
      <c r="E89" s="27">
        <v>184.87844250000001</v>
      </c>
      <c r="G89" s="23"/>
      <c r="H89" s="23"/>
      <c r="I89" s="23"/>
      <c r="J89" s="27"/>
    </row>
    <row r="90" spans="2:10" x14ac:dyDescent="0.25">
      <c r="B90" s="23">
        <v>8</v>
      </c>
      <c r="C90" s="23" t="s">
        <v>35</v>
      </c>
      <c r="D90" s="23" t="s">
        <v>32</v>
      </c>
      <c r="E90" s="28">
        <v>162.507465</v>
      </c>
      <c r="G90" s="23"/>
      <c r="H90" s="23"/>
      <c r="I90" s="23"/>
      <c r="J90" s="28"/>
    </row>
    <row r="91" spans="2:10" x14ac:dyDescent="0.25">
      <c r="B91" s="23">
        <v>9</v>
      </c>
      <c r="C91" s="23" t="s">
        <v>35</v>
      </c>
      <c r="D91" s="23" t="s">
        <v>32</v>
      </c>
      <c r="E91" s="27">
        <v>167.73</v>
      </c>
      <c r="G91" s="23"/>
      <c r="H91" s="23"/>
      <c r="I91" s="23"/>
      <c r="J91" s="27"/>
    </row>
    <row r="92" spans="2:10" x14ac:dyDescent="0.25">
      <c r="B92" s="23">
        <v>10</v>
      </c>
      <c r="C92" s="23" t="s">
        <v>35</v>
      </c>
      <c r="D92" s="23" t="s">
        <v>32</v>
      </c>
      <c r="E92" s="28">
        <v>160.45315199999999</v>
      </c>
      <c r="G92" s="23"/>
      <c r="H92" s="23"/>
      <c r="I92" s="23"/>
      <c r="J92" s="28"/>
    </row>
    <row r="93" spans="2:10" x14ac:dyDescent="0.25">
      <c r="B93" s="23">
        <v>11</v>
      </c>
      <c r="C93" s="23" t="s">
        <v>35</v>
      </c>
      <c r="D93" s="23" t="s">
        <v>32</v>
      </c>
      <c r="E93" s="27">
        <v>171.38799600000002</v>
      </c>
      <c r="G93" s="23"/>
      <c r="H93" s="23"/>
      <c r="I93" s="23"/>
      <c r="J93" s="27"/>
    </row>
    <row r="94" spans="2:10" x14ac:dyDescent="0.25">
      <c r="B94" s="23">
        <v>12</v>
      </c>
      <c r="C94" s="23" t="s">
        <v>35</v>
      </c>
      <c r="D94" s="23" t="s">
        <v>32</v>
      </c>
      <c r="E94" s="28">
        <v>106.98712199999999</v>
      </c>
      <c r="G94" s="23"/>
      <c r="H94" s="23"/>
      <c r="I94" s="23"/>
      <c r="J94" s="28"/>
    </row>
    <row r="95" spans="2:10" x14ac:dyDescent="0.25">
      <c r="B95" s="23">
        <v>13</v>
      </c>
      <c r="C95" s="23" t="s">
        <v>35</v>
      </c>
      <c r="D95" s="23" t="s">
        <v>32</v>
      </c>
      <c r="E95" s="27">
        <v>78.470369999999988</v>
      </c>
      <c r="G95" s="23"/>
      <c r="H95" s="23"/>
      <c r="I95" s="23"/>
      <c r="J95" s="27"/>
    </row>
    <row r="96" spans="2:10" x14ac:dyDescent="0.25">
      <c r="B96" s="23">
        <v>14</v>
      </c>
      <c r="C96" s="23" t="s">
        <v>35</v>
      </c>
      <c r="D96" s="23" t="s">
        <v>32</v>
      </c>
      <c r="E96" s="28">
        <v>128.39500799999999</v>
      </c>
      <c r="G96" s="23"/>
      <c r="H96" s="23"/>
      <c r="I96" s="23"/>
      <c r="J96" s="28"/>
    </row>
    <row r="97" spans="2:10" x14ac:dyDescent="0.25">
      <c r="B97" s="23">
        <v>15</v>
      </c>
      <c r="C97" s="23" t="s">
        <v>35</v>
      </c>
      <c r="D97" s="23" t="s">
        <v>32</v>
      </c>
      <c r="E97" s="27">
        <v>122.87289999999999</v>
      </c>
      <c r="G97" s="23"/>
      <c r="H97" s="23"/>
      <c r="I97" s="23"/>
      <c r="J97" s="27"/>
    </row>
    <row r="98" spans="2:10" x14ac:dyDescent="0.25">
      <c r="B98" s="23">
        <v>16</v>
      </c>
      <c r="C98" s="23" t="s">
        <v>35</v>
      </c>
      <c r="D98" s="23" t="s">
        <v>32</v>
      </c>
      <c r="E98" s="28">
        <v>110.4906</v>
      </c>
      <c r="G98" s="23"/>
      <c r="H98" s="23"/>
      <c r="I98" s="23"/>
      <c r="J98" s="28"/>
    </row>
    <row r="99" spans="2:10" x14ac:dyDescent="0.25">
      <c r="B99" s="23">
        <v>17</v>
      </c>
      <c r="C99" s="23" t="s">
        <v>35</v>
      </c>
      <c r="D99" s="23" t="s">
        <v>32</v>
      </c>
      <c r="E99" s="27">
        <v>107.50704800000001</v>
      </c>
      <c r="G99" s="23"/>
      <c r="H99" s="23"/>
      <c r="I99" s="23"/>
      <c r="J99" s="27"/>
    </row>
    <row r="100" spans="2:10" x14ac:dyDescent="0.25">
      <c r="B100" s="23">
        <v>18</v>
      </c>
      <c r="C100" s="23" t="s">
        <v>35</v>
      </c>
      <c r="D100" s="23" t="s">
        <v>32</v>
      </c>
      <c r="E100" s="28">
        <v>141.917832</v>
      </c>
      <c r="G100" s="23"/>
      <c r="H100" s="23"/>
      <c r="I100" s="23"/>
      <c r="J100" s="28"/>
    </row>
    <row r="101" spans="2:10" x14ac:dyDescent="0.25">
      <c r="B101" s="23">
        <v>19</v>
      </c>
      <c r="C101" s="23" t="s">
        <v>35</v>
      </c>
      <c r="D101" s="23" t="s">
        <v>32</v>
      </c>
      <c r="E101" s="27">
        <v>120.05204400000001</v>
      </c>
      <c r="G101" s="23"/>
      <c r="H101" s="23"/>
      <c r="I101" s="23"/>
      <c r="J101" s="27"/>
    </row>
    <row r="102" spans="2:10" x14ac:dyDescent="0.25">
      <c r="B102" s="23">
        <v>20</v>
      </c>
      <c r="C102" s="23" t="s">
        <v>35</v>
      </c>
      <c r="D102" s="23" t="s">
        <v>32</v>
      </c>
      <c r="E102" s="28">
        <v>133.11251800000002</v>
      </c>
      <c r="G102" s="23"/>
      <c r="H102" s="23"/>
      <c r="I102" s="23"/>
      <c r="J102" s="28"/>
    </row>
    <row r="103" spans="2:10" x14ac:dyDescent="0.25">
      <c r="B103" s="23">
        <v>21</v>
      </c>
      <c r="C103" s="23" t="s">
        <v>35</v>
      </c>
      <c r="D103" s="23" t="s">
        <v>32</v>
      </c>
      <c r="E103" s="27">
        <v>151.481638</v>
      </c>
      <c r="G103" s="23"/>
      <c r="H103" s="23"/>
      <c r="I103" s="23"/>
      <c r="J103" s="27"/>
    </row>
    <row r="104" spans="2:10" x14ac:dyDescent="0.25">
      <c r="B104" s="23">
        <v>22</v>
      </c>
      <c r="C104" s="23" t="s">
        <v>35</v>
      </c>
      <c r="D104" s="23" t="s">
        <v>32</v>
      </c>
      <c r="E104" s="28">
        <v>152.5248</v>
      </c>
      <c r="G104" s="23"/>
      <c r="H104" s="23"/>
      <c r="I104" s="23"/>
      <c r="J104" s="28"/>
    </row>
    <row r="105" spans="2:10" x14ac:dyDescent="0.25">
      <c r="B105" s="23">
        <v>23</v>
      </c>
      <c r="C105" s="23" t="s">
        <v>35</v>
      </c>
      <c r="D105" s="23" t="s">
        <v>32</v>
      </c>
      <c r="E105" s="27">
        <v>170.532027</v>
      </c>
      <c r="G105" s="23"/>
      <c r="H105" s="23"/>
      <c r="I105" s="23"/>
      <c r="J105" s="27"/>
    </row>
    <row r="106" spans="2:10" x14ac:dyDescent="0.25">
      <c r="B106" s="23">
        <v>24</v>
      </c>
      <c r="C106" s="23" t="s">
        <v>35</v>
      </c>
      <c r="D106" s="23" t="s">
        <v>32</v>
      </c>
      <c r="E106" s="28">
        <v>159.29036100000002</v>
      </c>
      <c r="G106" s="23"/>
      <c r="H106" s="23"/>
      <c r="I106" s="23"/>
      <c r="J106" s="28"/>
    </row>
    <row r="107" spans="2:10" x14ac:dyDescent="0.25">
      <c r="B107" s="23">
        <v>25</v>
      </c>
      <c r="C107" s="23" t="s">
        <v>35</v>
      </c>
      <c r="D107" s="23" t="s">
        <v>32</v>
      </c>
      <c r="E107" s="27">
        <v>203.85405600000001</v>
      </c>
      <c r="G107" s="23"/>
      <c r="H107" s="23"/>
      <c r="I107" s="23"/>
      <c r="J107" s="27"/>
    </row>
    <row r="108" spans="2:10" x14ac:dyDescent="0.25">
      <c r="B108" s="23">
        <v>26</v>
      </c>
      <c r="C108" s="23" t="s">
        <v>35</v>
      </c>
      <c r="D108" s="23" t="s">
        <v>32</v>
      </c>
      <c r="E108" s="28">
        <v>193.16220000000001</v>
      </c>
      <c r="G108" s="23"/>
      <c r="H108" s="23"/>
      <c r="I108" s="23"/>
      <c r="J108" s="28"/>
    </row>
    <row r="109" spans="2:10" x14ac:dyDescent="0.25">
      <c r="B109" s="23">
        <v>27</v>
      </c>
      <c r="C109" s="23" t="s">
        <v>35</v>
      </c>
      <c r="D109" s="23" t="s">
        <v>32</v>
      </c>
      <c r="E109" s="27">
        <v>218.82401000000002</v>
      </c>
      <c r="G109" s="23"/>
      <c r="H109" s="23"/>
      <c r="I109" s="23"/>
      <c r="J109" s="27"/>
    </row>
    <row r="110" spans="2:10" x14ac:dyDescent="0.25">
      <c r="B110" s="23">
        <v>28</v>
      </c>
      <c r="C110" s="23" t="s">
        <v>35</v>
      </c>
      <c r="D110" s="23" t="s">
        <v>32</v>
      </c>
      <c r="E110" s="28">
        <v>212.13720000000001</v>
      </c>
      <c r="G110" s="23"/>
      <c r="H110" s="23"/>
      <c r="I110" s="23"/>
      <c r="J110" s="28"/>
    </row>
    <row r="111" spans="2:10" x14ac:dyDescent="0.25">
      <c r="B111" s="23">
        <v>29</v>
      </c>
      <c r="C111" s="23" t="s">
        <v>35</v>
      </c>
      <c r="D111" s="23" t="s">
        <v>32</v>
      </c>
      <c r="E111" s="27">
        <v>215.00367</v>
      </c>
      <c r="G111" s="23"/>
      <c r="H111" s="23"/>
      <c r="I111" s="23"/>
      <c r="J111" s="27"/>
    </row>
    <row r="112" spans="2:10" x14ac:dyDescent="0.25">
      <c r="B112" s="23">
        <v>30</v>
      </c>
      <c r="C112" s="23" t="s">
        <v>35</v>
      </c>
      <c r="D112" s="23" t="s">
        <v>32</v>
      </c>
      <c r="E112" s="28">
        <v>224.84133</v>
      </c>
      <c r="G112" s="23"/>
      <c r="H112" s="23"/>
      <c r="I112" s="23"/>
      <c r="J112" s="28"/>
    </row>
    <row r="113" spans="2:10" x14ac:dyDescent="0.25">
      <c r="B113" s="23">
        <v>31</v>
      </c>
      <c r="C113" s="23" t="s">
        <v>35</v>
      </c>
      <c r="D113" s="23" t="s">
        <v>32</v>
      </c>
      <c r="E113" s="27">
        <v>236</v>
      </c>
      <c r="G113" s="23"/>
      <c r="H113" s="23"/>
      <c r="I113" s="23"/>
      <c r="J113" s="27"/>
    </row>
    <row r="114" spans="2:10" x14ac:dyDescent="0.25">
      <c r="B114" s="23">
        <v>32</v>
      </c>
      <c r="C114" s="23" t="s">
        <v>35</v>
      </c>
      <c r="D114" s="23" t="s">
        <v>32</v>
      </c>
      <c r="E114" s="28">
        <v>204</v>
      </c>
      <c r="G114" s="23"/>
      <c r="H114" s="23"/>
      <c r="I114" s="23"/>
      <c r="J114" s="28"/>
    </row>
    <row r="115" spans="2:10" x14ac:dyDescent="0.25">
      <c r="B115" s="23">
        <v>33</v>
      </c>
      <c r="C115" s="23" t="s">
        <v>35</v>
      </c>
      <c r="D115" s="23" t="s">
        <v>32</v>
      </c>
      <c r="E115" s="27">
        <v>210</v>
      </c>
      <c r="G115" s="23"/>
      <c r="H115" s="23"/>
      <c r="I115" s="23"/>
      <c r="J115" s="27"/>
    </row>
    <row r="116" spans="2:10" x14ac:dyDescent="0.25">
      <c r="B116" s="23">
        <v>34</v>
      </c>
      <c r="C116" s="23" t="s">
        <v>35</v>
      </c>
      <c r="D116" s="23" t="s">
        <v>32</v>
      </c>
      <c r="E116" s="28">
        <v>206</v>
      </c>
      <c r="G116" s="23"/>
      <c r="H116" s="23"/>
      <c r="I116" s="23"/>
      <c r="J116" s="28"/>
    </row>
    <row r="117" spans="2:10" x14ac:dyDescent="0.25">
      <c r="B117" s="23">
        <v>35</v>
      </c>
      <c r="C117" s="23" t="s">
        <v>35</v>
      </c>
      <c r="D117" s="23" t="s">
        <v>32</v>
      </c>
      <c r="E117" s="27">
        <v>211</v>
      </c>
      <c r="G117" s="23"/>
      <c r="H117" s="23"/>
      <c r="I117" s="23"/>
      <c r="J117" s="27"/>
    </row>
    <row r="118" spans="2:10" x14ac:dyDescent="0.25">
      <c r="B118" s="23">
        <v>36</v>
      </c>
      <c r="C118" s="23" t="s">
        <v>35</v>
      </c>
      <c r="D118" s="23" t="s">
        <v>32</v>
      </c>
      <c r="E118" s="28">
        <v>228</v>
      </c>
      <c r="G118" s="23"/>
      <c r="H118" s="23"/>
      <c r="I118" s="23"/>
      <c r="J118" s="28"/>
    </row>
    <row r="119" spans="2:10" x14ac:dyDescent="0.25">
      <c r="B119" s="23">
        <v>37</v>
      </c>
      <c r="C119" s="23" t="s">
        <v>35</v>
      </c>
      <c r="D119" s="23" t="s">
        <v>32</v>
      </c>
      <c r="E119" s="27">
        <v>156</v>
      </c>
      <c r="G119" s="23"/>
      <c r="H119" s="23"/>
      <c r="I119" s="23"/>
      <c r="J119" s="27"/>
    </row>
    <row r="120" spans="2:10" x14ac:dyDescent="0.25">
      <c r="B120" s="23">
        <v>38</v>
      </c>
      <c r="C120" s="23" t="s">
        <v>35</v>
      </c>
      <c r="D120" s="23" t="s">
        <v>32</v>
      </c>
      <c r="E120" s="29">
        <v>157</v>
      </c>
      <c r="G120" s="23"/>
      <c r="H120" s="23"/>
      <c r="I120" s="23"/>
      <c r="J120" s="29"/>
    </row>
    <row r="121" spans="2:10" x14ac:dyDescent="0.25">
      <c r="B121" s="23">
        <v>39</v>
      </c>
      <c r="C121" s="23" t="s">
        <v>35</v>
      </c>
      <c r="D121" s="23" t="s">
        <v>32</v>
      </c>
      <c r="E121" s="30">
        <v>98.843508750000012</v>
      </c>
      <c r="G121" s="23"/>
      <c r="H121" s="23"/>
      <c r="I121" s="23"/>
      <c r="J121" s="30"/>
    </row>
    <row r="122" spans="2:10" x14ac:dyDescent="0.25">
      <c r="B122" s="23">
        <v>40</v>
      </c>
      <c r="C122" s="23" t="s">
        <v>35</v>
      </c>
      <c r="D122" s="23" t="s">
        <v>32</v>
      </c>
      <c r="E122" s="32">
        <v>139.47954000000001</v>
      </c>
      <c r="G122" s="23"/>
      <c r="H122" s="23"/>
      <c r="I122" s="23"/>
      <c r="J122" s="32"/>
    </row>
    <row r="123" spans="2:10" x14ac:dyDescent="0.25">
      <c r="B123" s="23">
        <v>1</v>
      </c>
      <c r="C123" s="23" t="s">
        <v>35</v>
      </c>
      <c r="D123" s="23" t="s">
        <v>33</v>
      </c>
      <c r="E123" s="27">
        <v>139.73391899999999</v>
      </c>
      <c r="G123" s="23"/>
      <c r="H123" s="23"/>
      <c r="I123" s="23"/>
      <c r="J123" s="27"/>
    </row>
    <row r="124" spans="2:10" x14ac:dyDescent="0.25">
      <c r="B124" s="23">
        <v>2</v>
      </c>
      <c r="C124" s="23" t="s">
        <v>35</v>
      </c>
      <c r="D124" s="23" t="s">
        <v>33</v>
      </c>
      <c r="E124" s="28">
        <v>175.08625649999999</v>
      </c>
      <c r="G124" s="23"/>
      <c r="H124" s="23"/>
      <c r="I124" s="23"/>
      <c r="J124" s="28"/>
    </row>
    <row r="125" spans="2:10" x14ac:dyDescent="0.25">
      <c r="B125" s="23">
        <v>3</v>
      </c>
      <c r="C125" s="23" t="s">
        <v>35</v>
      </c>
      <c r="D125" s="23" t="s">
        <v>33</v>
      </c>
      <c r="E125" s="27">
        <v>150.87957299999999</v>
      </c>
      <c r="G125" s="23"/>
      <c r="H125" s="23"/>
      <c r="I125" s="23"/>
      <c r="J125" s="27"/>
    </row>
    <row r="126" spans="2:10" x14ac:dyDescent="0.25">
      <c r="B126" s="23">
        <v>4</v>
      </c>
      <c r="C126" s="23" t="s">
        <v>35</v>
      </c>
      <c r="D126" s="23" t="s">
        <v>33</v>
      </c>
      <c r="E126" s="28">
        <v>173.04441</v>
      </c>
      <c r="G126" s="23"/>
      <c r="H126" s="23"/>
      <c r="I126" s="23"/>
      <c r="J126" s="28"/>
    </row>
    <row r="127" spans="2:10" x14ac:dyDescent="0.25">
      <c r="B127" s="23">
        <v>5</v>
      </c>
      <c r="C127" s="23" t="s">
        <v>35</v>
      </c>
      <c r="D127" s="23" t="s">
        <v>33</v>
      </c>
      <c r="E127" s="27">
        <v>86.009219999999999</v>
      </c>
      <c r="G127" s="23"/>
      <c r="H127" s="23"/>
      <c r="I127" s="23"/>
      <c r="J127" s="27"/>
    </row>
    <row r="128" spans="2:10" x14ac:dyDescent="0.25">
      <c r="B128" s="23">
        <v>6</v>
      </c>
      <c r="C128" s="23" t="s">
        <v>35</v>
      </c>
      <c r="D128" s="23" t="s">
        <v>33</v>
      </c>
      <c r="E128" s="28">
        <v>120.54378</v>
      </c>
      <c r="G128" s="23"/>
      <c r="H128" s="23"/>
      <c r="I128" s="23"/>
      <c r="J128" s="28"/>
    </row>
    <row r="129" spans="2:10" x14ac:dyDescent="0.25">
      <c r="B129" s="23">
        <v>7</v>
      </c>
      <c r="C129" s="23" t="s">
        <v>35</v>
      </c>
      <c r="D129" s="23" t="s">
        <v>33</v>
      </c>
      <c r="E129" s="27">
        <v>110.25677</v>
      </c>
      <c r="G129" s="23"/>
      <c r="H129" s="23"/>
      <c r="I129" s="23"/>
      <c r="J129" s="27"/>
    </row>
    <row r="130" spans="2:10" x14ac:dyDescent="0.25">
      <c r="B130" s="23">
        <v>8</v>
      </c>
      <c r="C130" s="23" t="s">
        <v>35</v>
      </c>
      <c r="D130" s="23" t="s">
        <v>33</v>
      </c>
      <c r="E130" s="28">
        <v>111.94958700000001</v>
      </c>
      <c r="G130" s="23"/>
      <c r="H130" s="23"/>
      <c r="I130" s="23"/>
      <c r="J130" s="28"/>
    </row>
    <row r="131" spans="2:10" x14ac:dyDescent="0.25">
      <c r="B131" s="23">
        <v>9</v>
      </c>
      <c r="C131" s="23" t="s">
        <v>35</v>
      </c>
      <c r="D131" s="23" t="s">
        <v>33</v>
      </c>
      <c r="E131" s="27">
        <v>83.026350000000008</v>
      </c>
      <c r="G131" s="23"/>
      <c r="H131" s="23"/>
      <c r="I131" s="23"/>
      <c r="J131" s="27"/>
    </row>
    <row r="132" spans="2:10" x14ac:dyDescent="0.25">
      <c r="B132" s="23">
        <v>10</v>
      </c>
      <c r="C132" s="23" t="s">
        <v>35</v>
      </c>
      <c r="D132" s="23" t="s">
        <v>33</v>
      </c>
      <c r="E132" s="28">
        <v>100.28322</v>
      </c>
      <c r="G132" s="23"/>
      <c r="H132" s="23"/>
      <c r="I132" s="23"/>
      <c r="J132" s="28"/>
    </row>
    <row r="133" spans="2:10" x14ac:dyDescent="0.25">
      <c r="B133" s="23">
        <v>11</v>
      </c>
      <c r="C133" s="23" t="s">
        <v>35</v>
      </c>
      <c r="D133" s="23" t="s">
        <v>33</v>
      </c>
      <c r="E133" s="27">
        <v>98.877690000000001</v>
      </c>
      <c r="G133" s="23"/>
      <c r="H133" s="23"/>
      <c r="I133" s="23"/>
      <c r="J133" s="27"/>
    </row>
    <row r="134" spans="2:10" x14ac:dyDescent="0.25">
      <c r="B134" s="23">
        <v>12</v>
      </c>
      <c r="C134" s="23" t="s">
        <v>35</v>
      </c>
      <c r="D134" s="23" t="s">
        <v>33</v>
      </c>
      <c r="E134" s="28">
        <v>93.599550000000008</v>
      </c>
      <c r="G134" s="23"/>
      <c r="H134" s="23"/>
      <c r="I134" s="23"/>
      <c r="J134" s="28"/>
    </row>
    <row r="135" spans="2:10" x14ac:dyDescent="0.25">
      <c r="B135" s="23">
        <v>13</v>
      </c>
      <c r="C135" s="23" t="s">
        <v>35</v>
      </c>
      <c r="D135" s="23" t="s">
        <v>33</v>
      </c>
      <c r="E135" s="27">
        <v>61.825139999999998</v>
      </c>
      <c r="G135" s="23"/>
      <c r="H135" s="23"/>
      <c r="I135" s="23"/>
      <c r="J135" s="27"/>
    </row>
    <row r="136" spans="2:10" x14ac:dyDescent="0.25">
      <c r="B136" s="23">
        <v>14</v>
      </c>
      <c r="C136" s="23" t="s">
        <v>35</v>
      </c>
      <c r="D136" s="23" t="s">
        <v>33</v>
      </c>
      <c r="E136" s="28">
        <v>94.512991999999997</v>
      </c>
      <c r="G136" s="23"/>
      <c r="H136" s="23"/>
      <c r="I136" s="23"/>
      <c r="J136" s="28"/>
    </row>
    <row r="137" spans="2:10" x14ac:dyDescent="0.25">
      <c r="B137" s="23">
        <v>15</v>
      </c>
      <c r="C137" s="23" t="s">
        <v>35</v>
      </c>
      <c r="D137" s="23" t="s">
        <v>33</v>
      </c>
      <c r="E137" s="27">
        <v>94.451864</v>
      </c>
      <c r="G137" s="23"/>
      <c r="H137" s="23"/>
      <c r="I137" s="23"/>
      <c r="J137" s="27"/>
    </row>
    <row r="138" spans="2:10" x14ac:dyDescent="0.25">
      <c r="B138" s="23">
        <v>16</v>
      </c>
      <c r="C138" s="23" t="s">
        <v>35</v>
      </c>
      <c r="D138" s="23" t="s">
        <v>33</v>
      </c>
      <c r="E138" s="28">
        <v>97.934850000000012</v>
      </c>
      <c r="G138" s="23"/>
      <c r="H138" s="23"/>
      <c r="I138" s="23"/>
      <c r="J138" s="28"/>
    </row>
    <row r="139" spans="2:10" x14ac:dyDescent="0.25">
      <c r="B139" s="23">
        <v>17</v>
      </c>
      <c r="C139" s="23" t="s">
        <v>35</v>
      </c>
      <c r="D139" s="23" t="s">
        <v>33</v>
      </c>
      <c r="E139" s="27">
        <v>77.199210000000008</v>
      </c>
      <c r="G139" s="23"/>
      <c r="H139" s="23"/>
      <c r="I139" s="23"/>
      <c r="J139" s="27"/>
    </row>
    <row r="140" spans="2:10" x14ac:dyDescent="0.25">
      <c r="B140" s="23">
        <v>18</v>
      </c>
      <c r="C140" s="23" t="s">
        <v>35</v>
      </c>
      <c r="D140" s="23" t="s">
        <v>33</v>
      </c>
      <c r="E140" s="28">
        <v>78.092352000000005</v>
      </c>
      <c r="G140" s="23"/>
      <c r="H140" s="23"/>
      <c r="I140" s="23"/>
      <c r="J140" s="28"/>
    </row>
    <row r="141" spans="2:10" x14ac:dyDescent="0.25">
      <c r="B141" s="23">
        <v>19</v>
      </c>
      <c r="C141" s="23" t="s">
        <v>35</v>
      </c>
      <c r="D141" s="23" t="s">
        <v>33</v>
      </c>
      <c r="E141" s="27">
        <v>67.75424000000001</v>
      </c>
      <c r="G141" s="23"/>
      <c r="H141" s="23"/>
      <c r="I141" s="23"/>
      <c r="J141" s="27"/>
    </row>
    <row r="142" spans="2:10" x14ac:dyDescent="0.25">
      <c r="B142" s="23">
        <v>20</v>
      </c>
      <c r="C142" s="23" t="s">
        <v>35</v>
      </c>
      <c r="D142" s="23" t="s">
        <v>33</v>
      </c>
      <c r="E142" s="28">
        <v>89.955908499999993</v>
      </c>
      <c r="G142" s="23"/>
      <c r="H142" s="23"/>
      <c r="I142" s="23"/>
      <c r="J142" s="28"/>
    </row>
    <row r="143" spans="2:10" x14ac:dyDescent="0.25">
      <c r="B143" s="23">
        <v>21</v>
      </c>
      <c r="C143" s="23" t="s">
        <v>35</v>
      </c>
      <c r="D143" s="23" t="s">
        <v>33</v>
      </c>
      <c r="E143" s="27">
        <v>98.013397500000011</v>
      </c>
      <c r="G143" s="23"/>
      <c r="H143" s="23"/>
      <c r="I143" s="23"/>
      <c r="J143" s="27"/>
    </row>
    <row r="144" spans="2:10" x14ac:dyDescent="0.25">
      <c r="B144" s="23">
        <v>22</v>
      </c>
      <c r="C144" s="23" t="s">
        <v>35</v>
      </c>
      <c r="D144" s="23" t="s">
        <v>33</v>
      </c>
      <c r="E144" s="28">
        <v>139.61579999999998</v>
      </c>
      <c r="G144" s="23"/>
      <c r="H144" s="23"/>
      <c r="I144" s="23"/>
      <c r="J144" s="28"/>
    </row>
    <row r="145" spans="2:10" x14ac:dyDescent="0.25">
      <c r="B145" s="23">
        <v>23</v>
      </c>
      <c r="C145" s="23" t="s">
        <v>35</v>
      </c>
      <c r="D145" s="23" t="s">
        <v>33</v>
      </c>
      <c r="E145" s="27">
        <v>140.295852</v>
      </c>
      <c r="G145" s="23"/>
      <c r="H145" s="23"/>
      <c r="I145" s="23"/>
      <c r="J145" s="27"/>
    </row>
    <row r="146" spans="2:10" x14ac:dyDescent="0.25">
      <c r="B146" s="23">
        <v>24</v>
      </c>
      <c r="C146" s="23" t="s">
        <v>35</v>
      </c>
      <c r="D146" s="23" t="s">
        <v>33</v>
      </c>
      <c r="E146" s="28">
        <v>139.60201749999999</v>
      </c>
      <c r="G146" s="23"/>
      <c r="H146" s="23"/>
      <c r="I146" s="23"/>
      <c r="J146" s="28"/>
    </row>
    <row r="147" spans="2:10" x14ac:dyDescent="0.25">
      <c r="B147" s="23">
        <v>25</v>
      </c>
      <c r="C147" s="23" t="s">
        <v>35</v>
      </c>
      <c r="D147" s="23" t="s">
        <v>33</v>
      </c>
      <c r="E147" s="27">
        <v>172.70027999999999</v>
      </c>
      <c r="G147" s="23"/>
      <c r="H147" s="23"/>
      <c r="I147" s="23"/>
      <c r="J147" s="27"/>
    </row>
    <row r="148" spans="2:10" x14ac:dyDescent="0.25">
      <c r="B148" s="23">
        <v>26</v>
      </c>
      <c r="C148" s="23" t="s">
        <v>35</v>
      </c>
      <c r="D148" s="23" t="s">
        <v>33</v>
      </c>
      <c r="E148" s="28">
        <v>229.67278250000001</v>
      </c>
      <c r="G148" s="23"/>
      <c r="H148" s="23"/>
      <c r="I148" s="23"/>
      <c r="J148" s="28"/>
    </row>
    <row r="149" spans="2:10" x14ac:dyDescent="0.25">
      <c r="B149" s="23">
        <v>27</v>
      </c>
      <c r="C149" s="23" t="s">
        <v>35</v>
      </c>
      <c r="D149" s="23" t="s">
        <v>33</v>
      </c>
      <c r="E149" s="27">
        <v>286.15982000000002</v>
      </c>
      <c r="G149" s="23"/>
      <c r="H149" s="23"/>
      <c r="I149" s="23"/>
      <c r="J149" s="27"/>
    </row>
    <row r="150" spans="2:10" x14ac:dyDescent="0.25">
      <c r="B150" s="23">
        <v>28</v>
      </c>
      <c r="C150" s="23" t="s">
        <v>35</v>
      </c>
      <c r="D150" s="23" t="s">
        <v>33</v>
      </c>
      <c r="E150" s="28">
        <v>259.07791250000002</v>
      </c>
      <c r="G150" s="23"/>
      <c r="H150" s="23"/>
      <c r="I150" s="23"/>
      <c r="J150" s="28"/>
    </row>
    <row r="151" spans="2:10" x14ac:dyDescent="0.25">
      <c r="B151" s="23">
        <v>29</v>
      </c>
      <c r="C151" s="23" t="s">
        <v>35</v>
      </c>
      <c r="D151" s="23" t="s">
        <v>33</v>
      </c>
      <c r="E151" s="27">
        <v>309.37920000000003</v>
      </c>
      <c r="G151" s="23"/>
      <c r="H151" s="23"/>
      <c r="I151" s="23"/>
      <c r="J151" s="27"/>
    </row>
    <row r="152" spans="2:10" x14ac:dyDescent="0.25">
      <c r="B152" s="23">
        <v>30</v>
      </c>
      <c r="C152" s="23" t="s">
        <v>35</v>
      </c>
      <c r="D152" s="23" t="s">
        <v>33</v>
      </c>
      <c r="E152" s="28">
        <v>304.28836999999999</v>
      </c>
      <c r="G152" s="23"/>
      <c r="H152" s="23"/>
      <c r="I152" s="23"/>
      <c r="J152" s="28"/>
    </row>
    <row r="153" spans="2:10" x14ac:dyDescent="0.25">
      <c r="B153" s="23">
        <v>31</v>
      </c>
      <c r="C153" s="23" t="s">
        <v>35</v>
      </c>
      <c r="D153" s="23" t="s">
        <v>33</v>
      </c>
      <c r="E153" s="27">
        <v>314</v>
      </c>
      <c r="G153" s="23"/>
      <c r="H153" s="23"/>
      <c r="I153" s="23"/>
      <c r="J153" s="27"/>
    </row>
    <row r="154" spans="2:10" x14ac:dyDescent="0.25">
      <c r="B154" s="23">
        <v>32</v>
      </c>
      <c r="C154" s="23" t="s">
        <v>35</v>
      </c>
      <c r="D154" s="23" t="s">
        <v>33</v>
      </c>
      <c r="E154" s="28">
        <v>281</v>
      </c>
      <c r="G154" s="23"/>
      <c r="H154" s="23"/>
      <c r="I154" s="23"/>
      <c r="J154" s="28"/>
    </row>
    <row r="155" spans="2:10" x14ac:dyDescent="0.25">
      <c r="B155" s="23">
        <v>33</v>
      </c>
      <c r="C155" s="23" t="s">
        <v>35</v>
      </c>
      <c r="D155" s="23" t="s">
        <v>33</v>
      </c>
      <c r="E155" s="27">
        <v>280</v>
      </c>
      <c r="G155" s="23"/>
      <c r="H155" s="23"/>
      <c r="I155" s="23"/>
      <c r="J155" s="27"/>
    </row>
    <row r="156" spans="2:10" x14ac:dyDescent="0.25">
      <c r="B156" s="23">
        <v>34</v>
      </c>
      <c r="C156" s="23" t="s">
        <v>35</v>
      </c>
      <c r="D156" s="23" t="s">
        <v>33</v>
      </c>
      <c r="E156" s="28">
        <v>277</v>
      </c>
      <c r="G156" s="23"/>
      <c r="H156" s="23"/>
      <c r="I156" s="23"/>
      <c r="J156" s="28"/>
    </row>
    <row r="157" spans="2:10" x14ac:dyDescent="0.25">
      <c r="B157" s="23">
        <v>35</v>
      </c>
      <c r="C157" s="23" t="s">
        <v>35</v>
      </c>
      <c r="D157" s="23" t="s">
        <v>33</v>
      </c>
      <c r="E157" s="27">
        <v>285</v>
      </c>
      <c r="G157" s="23"/>
      <c r="H157" s="23"/>
      <c r="I157" s="23"/>
      <c r="J157" s="27"/>
    </row>
    <row r="158" spans="2:10" x14ac:dyDescent="0.25">
      <c r="B158" s="23">
        <v>36</v>
      </c>
      <c r="C158" s="23" t="s">
        <v>35</v>
      </c>
      <c r="D158" s="23" t="s">
        <v>33</v>
      </c>
      <c r="E158" s="28">
        <v>304</v>
      </c>
      <c r="G158" s="23"/>
      <c r="H158" s="23"/>
      <c r="I158" s="23"/>
      <c r="J158" s="28"/>
    </row>
    <row r="159" spans="2:10" x14ac:dyDescent="0.25">
      <c r="B159" s="23">
        <v>37</v>
      </c>
      <c r="C159" s="23" t="s">
        <v>35</v>
      </c>
      <c r="D159" s="23" t="s">
        <v>33</v>
      </c>
      <c r="E159" s="27">
        <v>192</v>
      </c>
      <c r="G159" s="23"/>
      <c r="H159" s="23"/>
      <c r="I159" s="23"/>
      <c r="J159" s="27"/>
    </row>
    <row r="160" spans="2:10" x14ac:dyDescent="0.25">
      <c r="B160" s="23">
        <v>38</v>
      </c>
      <c r="C160" s="23" t="s">
        <v>35</v>
      </c>
      <c r="D160" s="23" t="s">
        <v>33</v>
      </c>
      <c r="E160" s="29">
        <v>202</v>
      </c>
      <c r="G160" s="23"/>
      <c r="H160" s="23"/>
      <c r="I160" s="23"/>
      <c r="J160" s="29"/>
    </row>
    <row r="161" spans="2:10" x14ac:dyDescent="0.25">
      <c r="B161" s="23">
        <v>39</v>
      </c>
      <c r="C161" s="23" t="s">
        <v>35</v>
      </c>
      <c r="D161" s="23" t="s">
        <v>33</v>
      </c>
      <c r="E161" s="30">
        <v>109.89778800000001</v>
      </c>
      <c r="G161" s="23"/>
      <c r="H161" s="23"/>
      <c r="I161" s="23"/>
      <c r="J161" s="30"/>
    </row>
    <row r="162" spans="2:10" x14ac:dyDescent="0.25">
      <c r="B162" s="23">
        <v>40</v>
      </c>
      <c r="C162" s="23" t="s">
        <v>35</v>
      </c>
      <c r="D162" s="23" t="s">
        <v>33</v>
      </c>
      <c r="E162" s="32">
        <v>188.31384</v>
      </c>
      <c r="G162" s="23"/>
      <c r="H162" s="23"/>
      <c r="I162" s="23"/>
      <c r="J162" s="32"/>
    </row>
    <row r="163" spans="2:10" x14ac:dyDescent="0.25">
      <c r="B163" s="23">
        <v>1</v>
      </c>
      <c r="C163" s="23" t="s">
        <v>36</v>
      </c>
      <c r="D163" s="23" t="s">
        <v>32</v>
      </c>
      <c r="E163" s="27">
        <v>228.90114000000003</v>
      </c>
      <c r="G163" s="23"/>
      <c r="H163" s="23"/>
      <c r="I163" s="23"/>
      <c r="J163" s="27"/>
    </row>
    <row r="164" spans="2:10" x14ac:dyDescent="0.25">
      <c r="B164" s="23">
        <v>2</v>
      </c>
      <c r="C164" s="23" t="s">
        <v>36</v>
      </c>
      <c r="D164" s="23" t="s">
        <v>32</v>
      </c>
      <c r="E164" s="28">
        <v>285.41394000000003</v>
      </c>
      <c r="G164" s="23"/>
      <c r="H164" s="23"/>
      <c r="I164" s="23"/>
      <c r="J164" s="28"/>
    </row>
    <row r="165" spans="2:10" x14ac:dyDescent="0.25">
      <c r="B165" s="23">
        <v>3</v>
      </c>
      <c r="C165" s="23" t="s">
        <v>36</v>
      </c>
      <c r="D165" s="23" t="s">
        <v>32</v>
      </c>
      <c r="E165" s="27">
        <v>380.00928000000005</v>
      </c>
      <c r="G165" s="23"/>
      <c r="H165" s="23"/>
      <c r="I165" s="23"/>
      <c r="J165" s="27"/>
    </row>
    <row r="166" spans="2:10" x14ac:dyDescent="0.25">
      <c r="B166" s="23">
        <v>4</v>
      </c>
      <c r="C166" s="23" t="s">
        <v>36</v>
      </c>
      <c r="D166" s="23" t="s">
        <v>32</v>
      </c>
      <c r="E166" s="28">
        <v>301.22946000000002</v>
      </c>
      <c r="G166" s="23"/>
      <c r="H166" s="23"/>
      <c r="I166" s="23"/>
      <c r="J166" s="28"/>
    </row>
    <row r="167" spans="2:10" x14ac:dyDescent="0.25">
      <c r="B167" s="23">
        <v>5</v>
      </c>
      <c r="C167" s="23" t="s">
        <v>36</v>
      </c>
      <c r="D167" s="23" t="s">
        <v>32</v>
      </c>
      <c r="E167" s="27">
        <v>272.95</v>
      </c>
      <c r="G167" s="23"/>
      <c r="H167" s="23"/>
      <c r="I167" s="23"/>
      <c r="J167" s="27"/>
    </row>
    <row r="168" spans="2:10" x14ac:dyDescent="0.25">
      <c r="B168" s="23">
        <v>6</v>
      </c>
      <c r="C168" s="23" t="s">
        <v>36</v>
      </c>
      <c r="D168" s="23" t="s">
        <v>32</v>
      </c>
      <c r="E168" s="28">
        <v>295.58171999999996</v>
      </c>
      <c r="G168" s="23"/>
      <c r="H168" s="23"/>
      <c r="I168" s="23"/>
      <c r="J168" s="28"/>
    </row>
    <row r="169" spans="2:10" x14ac:dyDescent="0.25">
      <c r="B169" s="23">
        <v>7</v>
      </c>
      <c r="C169" s="23" t="s">
        <v>36</v>
      </c>
      <c r="D169" s="23" t="s">
        <v>32</v>
      </c>
      <c r="E169" s="27">
        <v>437.91165000000001</v>
      </c>
      <c r="G169" s="23"/>
      <c r="H169" s="23"/>
      <c r="I169" s="23"/>
      <c r="J169" s="27"/>
    </row>
    <row r="170" spans="2:10" x14ac:dyDescent="0.25">
      <c r="B170" s="23">
        <v>8</v>
      </c>
      <c r="C170" s="23" t="s">
        <v>36</v>
      </c>
      <c r="D170" s="23" t="s">
        <v>32</v>
      </c>
      <c r="E170" s="28">
        <v>509.57549999999998</v>
      </c>
      <c r="G170" s="23"/>
      <c r="H170" s="23"/>
      <c r="I170" s="23"/>
      <c r="J170" s="28"/>
    </row>
    <row r="171" spans="2:10" x14ac:dyDescent="0.25">
      <c r="B171" s="23">
        <v>9</v>
      </c>
      <c r="C171" s="23" t="s">
        <v>36</v>
      </c>
      <c r="D171" s="23" t="s">
        <v>32</v>
      </c>
      <c r="E171" s="27">
        <v>624.13214000000005</v>
      </c>
      <c r="G171" s="23"/>
      <c r="H171" s="23"/>
      <c r="I171" s="23"/>
      <c r="J171" s="27"/>
    </row>
    <row r="172" spans="2:10" x14ac:dyDescent="0.25">
      <c r="B172" s="23">
        <v>10</v>
      </c>
      <c r="C172" s="23" t="s">
        <v>36</v>
      </c>
      <c r="D172" s="23" t="s">
        <v>32</v>
      </c>
      <c r="E172" s="28">
        <v>562.93650000000002</v>
      </c>
      <c r="G172" s="23"/>
      <c r="H172" s="23"/>
      <c r="I172" s="23"/>
      <c r="J172" s="28"/>
    </row>
    <row r="173" spans="2:10" x14ac:dyDescent="0.25">
      <c r="B173" s="23">
        <v>11</v>
      </c>
      <c r="C173" s="23" t="s">
        <v>36</v>
      </c>
      <c r="D173" s="23" t="s">
        <v>32</v>
      </c>
      <c r="E173" s="27">
        <v>512.65137000000004</v>
      </c>
      <c r="G173" s="23"/>
      <c r="H173" s="23"/>
      <c r="I173" s="23"/>
      <c r="J173" s="27"/>
    </row>
    <row r="174" spans="2:10" x14ac:dyDescent="0.25">
      <c r="B174" s="23">
        <v>12</v>
      </c>
      <c r="C174" s="23" t="s">
        <v>36</v>
      </c>
      <c r="D174" s="23" t="s">
        <v>32</v>
      </c>
      <c r="E174" s="28">
        <v>411.48162000000002</v>
      </c>
      <c r="G174" s="23"/>
      <c r="H174" s="23"/>
      <c r="I174" s="23"/>
      <c r="J174" s="28"/>
    </row>
    <row r="175" spans="2:10" x14ac:dyDescent="0.25">
      <c r="B175" s="23">
        <v>13</v>
      </c>
      <c r="C175" s="23" t="s">
        <v>36</v>
      </c>
      <c r="D175" s="23" t="s">
        <v>32</v>
      </c>
      <c r="E175" s="27">
        <v>430.50824999999998</v>
      </c>
      <c r="G175" s="23"/>
      <c r="H175" s="23"/>
      <c r="I175" s="23"/>
      <c r="J175" s="27"/>
    </row>
    <row r="176" spans="2:10" x14ac:dyDescent="0.25">
      <c r="B176" s="23">
        <v>14</v>
      </c>
      <c r="C176" s="23" t="s">
        <v>36</v>
      </c>
      <c r="D176" s="23" t="s">
        <v>32</v>
      </c>
      <c r="E176" s="28">
        <v>467.5095</v>
      </c>
      <c r="G176" s="23"/>
      <c r="H176" s="23"/>
      <c r="I176" s="23"/>
      <c r="J176" s="28"/>
    </row>
    <row r="177" spans="2:10" x14ac:dyDescent="0.25">
      <c r="B177" s="23">
        <v>15</v>
      </c>
      <c r="C177" s="23" t="s">
        <v>36</v>
      </c>
      <c r="D177" s="23" t="s">
        <v>32</v>
      </c>
      <c r="E177" s="27">
        <v>380.04259999999999</v>
      </c>
      <c r="G177" s="23"/>
      <c r="H177" s="23"/>
      <c r="I177" s="23"/>
      <c r="J177" s="27"/>
    </row>
    <row r="178" spans="2:10" x14ac:dyDescent="0.25">
      <c r="B178" s="23">
        <v>16</v>
      </c>
      <c r="C178" s="23" t="s">
        <v>36</v>
      </c>
      <c r="D178" s="23" t="s">
        <v>32</v>
      </c>
      <c r="E178" s="28">
        <v>376.50047499999999</v>
      </c>
      <c r="G178" s="23"/>
      <c r="H178" s="23"/>
      <c r="I178" s="23"/>
      <c r="J178" s="28"/>
    </row>
    <row r="179" spans="2:10" x14ac:dyDescent="0.25">
      <c r="B179" s="23">
        <v>17</v>
      </c>
      <c r="C179" s="23" t="s">
        <v>36</v>
      </c>
      <c r="D179" s="23" t="s">
        <v>32</v>
      </c>
      <c r="E179" s="27">
        <v>341.8075</v>
      </c>
      <c r="G179" s="23"/>
      <c r="H179" s="23"/>
      <c r="I179" s="23"/>
      <c r="J179" s="27"/>
    </row>
    <row r="180" spans="2:10" x14ac:dyDescent="0.25">
      <c r="B180" s="23">
        <v>18</v>
      </c>
      <c r="C180" s="23" t="s">
        <v>36</v>
      </c>
      <c r="D180" s="23" t="s">
        <v>32</v>
      </c>
      <c r="E180" s="28">
        <v>367.16159999999996</v>
      </c>
      <c r="G180" s="23"/>
      <c r="H180" s="23"/>
      <c r="I180" s="23"/>
      <c r="J180" s="28"/>
    </row>
    <row r="181" spans="2:10" x14ac:dyDescent="0.25">
      <c r="B181" s="23">
        <v>19</v>
      </c>
      <c r="C181" s="23" t="s">
        <v>36</v>
      </c>
      <c r="D181" s="23" t="s">
        <v>32</v>
      </c>
      <c r="E181" s="27">
        <v>391.68079999999998</v>
      </c>
      <c r="G181" s="23"/>
      <c r="H181" s="23"/>
      <c r="I181" s="23"/>
      <c r="J181" s="27"/>
    </row>
    <row r="182" spans="2:10" x14ac:dyDescent="0.25">
      <c r="B182" s="23">
        <v>20</v>
      </c>
      <c r="C182" s="23" t="s">
        <v>36</v>
      </c>
      <c r="D182" s="23" t="s">
        <v>32</v>
      </c>
      <c r="E182" s="28">
        <v>325.96379999999999</v>
      </c>
      <c r="G182" s="23"/>
      <c r="H182" s="23"/>
      <c r="I182" s="23"/>
      <c r="J182" s="28"/>
    </row>
    <row r="183" spans="2:10" x14ac:dyDescent="0.25">
      <c r="B183" s="23">
        <v>21</v>
      </c>
      <c r="C183" s="23" t="s">
        <v>36</v>
      </c>
      <c r="D183" s="23" t="s">
        <v>32</v>
      </c>
      <c r="E183" s="27">
        <v>311.83679999999998</v>
      </c>
      <c r="G183" s="23"/>
      <c r="H183" s="23"/>
      <c r="I183" s="23"/>
      <c r="J183" s="27"/>
    </row>
    <row r="184" spans="2:10" x14ac:dyDescent="0.25">
      <c r="B184" s="23">
        <v>22</v>
      </c>
      <c r="C184" s="23" t="s">
        <v>36</v>
      </c>
      <c r="D184" s="23" t="s">
        <v>32</v>
      </c>
      <c r="E184" s="28">
        <v>319.59765000000004</v>
      </c>
      <c r="G184" s="23"/>
      <c r="H184" s="23"/>
      <c r="I184" s="23"/>
      <c r="J184" s="28"/>
    </row>
    <row r="185" spans="2:10" x14ac:dyDescent="0.25">
      <c r="B185" s="23">
        <v>23</v>
      </c>
      <c r="C185" s="23" t="s">
        <v>36</v>
      </c>
      <c r="D185" s="23" t="s">
        <v>32</v>
      </c>
      <c r="E185" s="27">
        <v>304.28309999999999</v>
      </c>
      <c r="G185" s="23"/>
      <c r="H185" s="23"/>
      <c r="I185" s="23"/>
      <c r="J185" s="27"/>
    </row>
    <row r="186" spans="2:10" x14ac:dyDescent="0.25">
      <c r="B186" s="23">
        <v>24</v>
      </c>
      <c r="C186" s="23" t="s">
        <v>36</v>
      </c>
      <c r="D186" s="23" t="s">
        <v>32</v>
      </c>
      <c r="E186" s="28">
        <v>289.84899999999999</v>
      </c>
      <c r="G186" s="23"/>
      <c r="H186" s="23"/>
      <c r="I186" s="23"/>
      <c r="J186" s="28"/>
    </row>
    <row r="187" spans="2:10" x14ac:dyDescent="0.25">
      <c r="B187" s="23">
        <v>25</v>
      </c>
      <c r="C187" s="23" t="s">
        <v>36</v>
      </c>
      <c r="D187" s="23" t="s">
        <v>32</v>
      </c>
      <c r="E187" s="27">
        <v>371.69549999999998</v>
      </c>
      <c r="G187" s="23"/>
      <c r="H187" s="23"/>
      <c r="I187" s="23"/>
      <c r="J187" s="27"/>
    </row>
    <row r="188" spans="2:10" x14ac:dyDescent="0.25">
      <c r="B188" s="23">
        <v>26</v>
      </c>
      <c r="C188" s="23" t="s">
        <v>36</v>
      </c>
      <c r="D188" s="23" t="s">
        <v>32</v>
      </c>
      <c r="E188" s="28">
        <v>393.25562500000001</v>
      </c>
      <c r="G188" s="23"/>
      <c r="H188" s="23"/>
      <c r="I188" s="23"/>
      <c r="J188" s="28"/>
    </row>
    <row r="189" spans="2:10" x14ac:dyDescent="0.25">
      <c r="B189" s="23">
        <v>27</v>
      </c>
      <c r="C189" s="23" t="s">
        <v>36</v>
      </c>
      <c r="D189" s="23" t="s">
        <v>32</v>
      </c>
      <c r="E189" s="27">
        <v>490.03500000000003</v>
      </c>
      <c r="G189" s="23"/>
      <c r="H189" s="23"/>
      <c r="I189" s="23"/>
      <c r="J189" s="27"/>
    </row>
    <row r="190" spans="2:10" x14ac:dyDescent="0.25">
      <c r="B190" s="23">
        <v>28</v>
      </c>
      <c r="C190" s="23" t="s">
        <v>36</v>
      </c>
      <c r="D190" s="23" t="s">
        <v>32</v>
      </c>
      <c r="E190" s="28">
        <v>414.86399999999998</v>
      </c>
      <c r="G190" s="23"/>
      <c r="H190" s="23"/>
      <c r="I190" s="23"/>
      <c r="J190" s="28"/>
    </row>
    <row r="191" spans="2:10" x14ac:dyDescent="0.25">
      <c r="B191" s="23">
        <v>29</v>
      </c>
      <c r="C191" s="23" t="s">
        <v>36</v>
      </c>
      <c r="D191" s="23" t="s">
        <v>32</v>
      </c>
      <c r="E191" s="27">
        <v>440.90540000000004</v>
      </c>
      <c r="G191" s="23"/>
      <c r="H191" s="23"/>
      <c r="I191" s="23"/>
      <c r="J191" s="27"/>
    </row>
    <row r="192" spans="2:10" x14ac:dyDescent="0.25">
      <c r="B192" s="23">
        <v>30</v>
      </c>
      <c r="C192" s="23" t="s">
        <v>36</v>
      </c>
      <c r="D192" s="23" t="s">
        <v>32</v>
      </c>
      <c r="E192" s="28">
        <v>427.77215999999999</v>
      </c>
      <c r="G192" s="23"/>
      <c r="H192" s="23"/>
      <c r="I192" s="23"/>
      <c r="J192" s="28"/>
    </row>
    <row r="193" spans="2:10" x14ac:dyDescent="0.25">
      <c r="B193" s="23">
        <v>31</v>
      </c>
      <c r="C193" s="23" t="s">
        <v>36</v>
      </c>
      <c r="D193" s="23" t="s">
        <v>32</v>
      </c>
      <c r="E193" s="27">
        <v>448</v>
      </c>
      <c r="G193" s="23"/>
      <c r="H193" s="23"/>
      <c r="I193" s="23"/>
      <c r="J193" s="27"/>
    </row>
    <row r="194" spans="2:10" x14ac:dyDescent="0.25">
      <c r="B194" s="23">
        <v>32</v>
      </c>
      <c r="C194" s="23" t="s">
        <v>36</v>
      </c>
      <c r="D194" s="23" t="s">
        <v>32</v>
      </c>
      <c r="E194" s="28">
        <v>470</v>
      </c>
      <c r="G194" s="23"/>
      <c r="H194" s="23"/>
      <c r="I194" s="23"/>
      <c r="J194" s="28"/>
    </row>
    <row r="195" spans="2:10" x14ac:dyDescent="0.25">
      <c r="B195" s="23">
        <v>33</v>
      </c>
      <c r="C195" s="23" t="s">
        <v>36</v>
      </c>
      <c r="D195" s="23" t="s">
        <v>32</v>
      </c>
      <c r="E195" s="27">
        <v>448</v>
      </c>
      <c r="G195" s="23"/>
      <c r="H195" s="23"/>
      <c r="I195" s="23"/>
      <c r="J195" s="27"/>
    </row>
    <row r="196" spans="2:10" x14ac:dyDescent="0.25">
      <c r="B196" s="23">
        <v>34</v>
      </c>
      <c r="C196" s="23" t="s">
        <v>36</v>
      </c>
      <c r="D196" s="23" t="s">
        <v>32</v>
      </c>
      <c r="E196" s="28">
        <v>464</v>
      </c>
      <c r="G196" s="23"/>
      <c r="H196" s="23"/>
      <c r="I196" s="23"/>
      <c r="J196" s="28"/>
    </row>
    <row r="197" spans="2:10" x14ac:dyDescent="0.25">
      <c r="B197" s="23">
        <v>35</v>
      </c>
      <c r="C197" s="23" t="s">
        <v>36</v>
      </c>
      <c r="D197" s="23" t="s">
        <v>32</v>
      </c>
      <c r="E197" s="27">
        <v>448</v>
      </c>
      <c r="G197" s="23"/>
      <c r="H197" s="23"/>
      <c r="I197" s="23"/>
      <c r="J197" s="27"/>
    </row>
    <row r="198" spans="2:10" x14ac:dyDescent="0.25">
      <c r="B198" s="23">
        <v>36</v>
      </c>
      <c r="C198" s="23" t="s">
        <v>36</v>
      </c>
      <c r="D198" s="23" t="s">
        <v>32</v>
      </c>
      <c r="E198" s="28">
        <v>400</v>
      </c>
      <c r="G198" s="23"/>
      <c r="H198" s="23"/>
      <c r="I198" s="23"/>
      <c r="J198" s="28"/>
    </row>
    <row r="199" spans="2:10" x14ac:dyDescent="0.25">
      <c r="B199" s="23">
        <v>37</v>
      </c>
      <c r="C199" s="23" t="s">
        <v>36</v>
      </c>
      <c r="D199" s="23" t="s">
        <v>32</v>
      </c>
      <c r="E199" s="27">
        <v>367</v>
      </c>
      <c r="G199" s="23"/>
      <c r="H199" s="23"/>
      <c r="I199" s="23"/>
      <c r="J199" s="27"/>
    </row>
    <row r="200" spans="2:10" x14ac:dyDescent="0.25">
      <c r="B200" s="23">
        <v>38</v>
      </c>
      <c r="C200" s="23" t="s">
        <v>36</v>
      </c>
      <c r="D200" s="23" t="s">
        <v>32</v>
      </c>
      <c r="E200" s="29">
        <v>436</v>
      </c>
      <c r="G200" s="23"/>
      <c r="H200" s="23"/>
      <c r="I200" s="23"/>
      <c r="J200" s="29"/>
    </row>
    <row r="201" spans="2:10" x14ac:dyDescent="0.25">
      <c r="B201" s="23">
        <v>39</v>
      </c>
      <c r="C201" s="23" t="s">
        <v>36</v>
      </c>
      <c r="D201" s="23" t="s">
        <v>32</v>
      </c>
      <c r="E201" s="30">
        <v>307.28684249999998</v>
      </c>
      <c r="G201" s="23"/>
      <c r="H201" s="23"/>
      <c r="I201" s="23"/>
      <c r="J201" s="30"/>
    </row>
    <row r="202" spans="2:10" x14ac:dyDescent="0.25">
      <c r="B202" s="23">
        <v>40</v>
      </c>
      <c r="C202" s="23" t="s">
        <v>36</v>
      </c>
      <c r="D202" s="23" t="s">
        <v>32</v>
      </c>
      <c r="E202" s="32">
        <v>551.89052000000004</v>
      </c>
      <c r="G202" s="23"/>
      <c r="H202" s="23"/>
      <c r="I202" s="23"/>
      <c r="J202" s="32"/>
    </row>
    <row r="203" spans="2:10" x14ac:dyDescent="0.25">
      <c r="B203" s="23">
        <v>1</v>
      </c>
      <c r="C203" s="23" t="s">
        <v>36</v>
      </c>
      <c r="D203" s="23" t="s">
        <v>33</v>
      </c>
      <c r="E203" s="27">
        <v>281.72447999999997</v>
      </c>
      <c r="G203" s="23"/>
      <c r="H203" s="23"/>
      <c r="I203" s="23"/>
      <c r="J203" s="27"/>
    </row>
    <row r="204" spans="2:10" x14ac:dyDescent="0.25">
      <c r="B204" s="23">
        <v>2</v>
      </c>
      <c r="C204" s="23" t="s">
        <v>36</v>
      </c>
      <c r="D204" s="23" t="s">
        <v>33</v>
      </c>
      <c r="E204" s="28">
        <v>370.47573</v>
      </c>
      <c r="G204" s="23"/>
      <c r="H204" s="23"/>
      <c r="I204" s="23"/>
      <c r="J204" s="28"/>
    </row>
    <row r="205" spans="2:10" x14ac:dyDescent="0.25">
      <c r="B205" s="23">
        <v>3</v>
      </c>
      <c r="C205" s="23" t="s">
        <v>36</v>
      </c>
      <c r="D205" s="23" t="s">
        <v>33</v>
      </c>
      <c r="E205" s="27">
        <v>497.63120000000004</v>
      </c>
      <c r="G205" s="23"/>
      <c r="H205" s="23"/>
      <c r="I205" s="23"/>
      <c r="J205" s="27"/>
    </row>
    <row r="206" spans="2:10" x14ac:dyDescent="0.25">
      <c r="B206" s="23">
        <v>4</v>
      </c>
      <c r="C206" s="23" t="s">
        <v>36</v>
      </c>
      <c r="D206" s="23" t="s">
        <v>33</v>
      </c>
      <c r="E206" s="28">
        <v>404.0883</v>
      </c>
      <c r="G206" s="23"/>
      <c r="H206" s="23"/>
      <c r="I206" s="23"/>
      <c r="J206" s="28"/>
    </row>
    <row r="207" spans="2:10" x14ac:dyDescent="0.25">
      <c r="B207" s="23">
        <v>5</v>
      </c>
      <c r="C207" s="23" t="s">
        <v>36</v>
      </c>
      <c r="D207" s="23" t="s">
        <v>33</v>
      </c>
      <c r="E207" s="27">
        <v>376.12509999999997</v>
      </c>
      <c r="G207" s="23"/>
      <c r="H207" s="23"/>
      <c r="I207" s="23"/>
      <c r="J207" s="27"/>
    </row>
    <row r="208" spans="2:10" x14ac:dyDescent="0.25">
      <c r="B208" s="23">
        <v>6</v>
      </c>
      <c r="C208" s="23" t="s">
        <v>36</v>
      </c>
      <c r="D208" s="23" t="s">
        <v>33</v>
      </c>
      <c r="E208" s="28">
        <v>452.42099999999999</v>
      </c>
      <c r="G208" s="23"/>
      <c r="H208" s="23"/>
      <c r="I208" s="23"/>
      <c r="J208" s="28"/>
    </row>
    <row r="209" spans="2:10" x14ac:dyDescent="0.25">
      <c r="B209" s="23">
        <v>7</v>
      </c>
      <c r="C209" s="23" t="s">
        <v>36</v>
      </c>
      <c r="D209" s="23" t="s">
        <v>33</v>
      </c>
      <c r="E209" s="27">
        <v>601.57560000000001</v>
      </c>
      <c r="G209" s="23"/>
      <c r="H209" s="23"/>
      <c r="I209" s="23"/>
      <c r="J209" s="27"/>
    </row>
    <row r="210" spans="2:10" x14ac:dyDescent="0.25">
      <c r="B210" s="23">
        <v>8</v>
      </c>
      <c r="C210" s="23" t="s">
        <v>36</v>
      </c>
      <c r="D210" s="23" t="s">
        <v>33</v>
      </c>
      <c r="E210" s="28">
        <v>722.14128000000005</v>
      </c>
      <c r="G210" s="23"/>
      <c r="H210" s="23"/>
      <c r="I210" s="23"/>
      <c r="J210" s="28"/>
    </row>
    <row r="211" spans="2:10" x14ac:dyDescent="0.25">
      <c r="B211" s="23">
        <v>9</v>
      </c>
      <c r="C211" s="23" t="s">
        <v>36</v>
      </c>
      <c r="D211" s="23" t="s">
        <v>33</v>
      </c>
      <c r="E211" s="27">
        <v>932.98471499999994</v>
      </c>
      <c r="G211" s="23"/>
      <c r="H211" s="23"/>
      <c r="I211" s="23"/>
      <c r="J211" s="27"/>
    </row>
    <row r="212" spans="2:10" x14ac:dyDescent="0.25">
      <c r="B212" s="23">
        <v>10</v>
      </c>
      <c r="C212" s="23" t="s">
        <v>36</v>
      </c>
      <c r="D212" s="23" t="s">
        <v>33</v>
      </c>
      <c r="E212" s="28">
        <v>881.11800000000005</v>
      </c>
      <c r="G212" s="23"/>
      <c r="H212" s="23"/>
      <c r="I212" s="23"/>
      <c r="J212" s="28"/>
    </row>
    <row r="213" spans="2:10" x14ac:dyDescent="0.25">
      <c r="B213" s="23">
        <v>11</v>
      </c>
      <c r="C213" s="23" t="s">
        <v>36</v>
      </c>
      <c r="D213" s="23" t="s">
        <v>33</v>
      </c>
      <c r="E213" s="27">
        <v>898.32190000000003</v>
      </c>
      <c r="G213" s="23"/>
      <c r="H213" s="23"/>
      <c r="I213" s="23"/>
      <c r="J213" s="27"/>
    </row>
    <row r="214" spans="2:10" x14ac:dyDescent="0.25">
      <c r="B214" s="23">
        <v>12</v>
      </c>
      <c r="C214" s="23" t="s">
        <v>36</v>
      </c>
      <c r="D214" s="23" t="s">
        <v>33</v>
      </c>
      <c r="E214" s="28">
        <v>698.91624000000002</v>
      </c>
      <c r="G214" s="23"/>
      <c r="H214" s="23"/>
      <c r="I214" s="23"/>
      <c r="J214" s="28"/>
    </row>
    <row r="215" spans="2:10" x14ac:dyDescent="0.25">
      <c r="B215" s="23">
        <v>13</v>
      </c>
      <c r="C215" s="23" t="s">
        <v>36</v>
      </c>
      <c r="D215" s="23" t="s">
        <v>33</v>
      </c>
      <c r="E215" s="27">
        <v>714.3248000000001</v>
      </c>
      <c r="G215" s="23"/>
      <c r="H215" s="23"/>
      <c r="I215" s="23"/>
      <c r="J215" s="27"/>
    </row>
    <row r="216" spans="2:10" x14ac:dyDescent="0.25">
      <c r="B216" s="23">
        <v>14</v>
      </c>
      <c r="C216" s="23" t="s">
        <v>36</v>
      </c>
      <c r="D216" s="23" t="s">
        <v>33</v>
      </c>
      <c r="E216" s="28">
        <v>780.5376</v>
      </c>
      <c r="G216" s="23"/>
      <c r="H216" s="23"/>
      <c r="I216" s="23"/>
      <c r="J216" s="28"/>
    </row>
    <row r="217" spans="2:10" x14ac:dyDescent="0.25">
      <c r="B217" s="23">
        <v>15</v>
      </c>
      <c r="C217" s="23" t="s">
        <v>36</v>
      </c>
      <c r="D217" s="23" t="s">
        <v>33</v>
      </c>
      <c r="E217" s="27">
        <v>681.80399999999997</v>
      </c>
      <c r="G217" s="23"/>
      <c r="H217" s="23"/>
      <c r="I217" s="23"/>
      <c r="J217" s="27"/>
    </row>
    <row r="218" spans="2:10" x14ac:dyDescent="0.25">
      <c r="B218" s="23">
        <v>16</v>
      </c>
      <c r="C218" s="23" t="s">
        <v>36</v>
      </c>
      <c r="D218" s="23" t="s">
        <v>33</v>
      </c>
      <c r="E218" s="28">
        <v>664.536925</v>
      </c>
      <c r="G218" s="23"/>
      <c r="H218" s="23"/>
      <c r="I218" s="23"/>
      <c r="J218" s="28"/>
    </row>
    <row r="219" spans="2:10" x14ac:dyDescent="0.25">
      <c r="B219" s="23">
        <v>17</v>
      </c>
      <c r="C219" s="23" t="s">
        <v>36</v>
      </c>
      <c r="D219" s="23" t="s">
        <v>33</v>
      </c>
      <c r="E219" s="27">
        <v>610.89</v>
      </c>
      <c r="G219" s="23"/>
      <c r="H219" s="23"/>
      <c r="I219" s="23"/>
      <c r="J219" s="27"/>
    </row>
    <row r="220" spans="2:10" x14ac:dyDescent="0.25">
      <c r="B220" s="23">
        <v>18</v>
      </c>
      <c r="C220" s="23" t="s">
        <v>36</v>
      </c>
      <c r="D220" s="23" t="s">
        <v>33</v>
      </c>
      <c r="E220" s="28">
        <v>720.49580000000003</v>
      </c>
      <c r="G220" s="23"/>
      <c r="H220" s="23"/>
      <c r="I220" s="23"/>
      <c r="J220" s="28"/>
    </row>
    <row r="221" spans="2:10" x14ac:dyDescent="0.25">
      <c r="B221" s="23">
        <v>19</v>
      </c>
      <c r="C221" s="23" t="s">
        <v>36</v>
      </c>
      <c r="D221" s="23" t="s">
        <v>33</v>
      </c>
      <c r="E221" s="27">
        <v>720.10880000000009</v>
      </c>
      <c r="G221" s="23"/>
      <c r="H221" s="23"/>
      <c r="I221" s="23"/>
      <c r="J221" s="27"/>
    </row>
    <row r="222" spans="2:10" x14ac:dyDescent="0.25">
      <c r="B222" s="23">
        <v>20</v>
      </c>
      <c r="C222" s="23" t="s">
        <v>36</v>
      </c>
      <c r="D222" s="23" t="s">
        <v>33</v>
      </c>
      <c r="E222" s="28">
        <v>678.80227500000001</v>
      </c>
      <c r="G222" s="23"/>
      <c r="H222" s="23"/>
      <c r="I222" s="23"/>
      <c r="J222" s="28"/>
    </row>
    <row r="223" spans="2:10" x14ac:dyDescent="0.25">
      <c r="B223" s="23">
        <v>21</v>
      </c>
      <c r="C223" s="23" t="s">
        <v>36</v>
      </c>
      <c r="D223" s="23" t="s">
        <v>33</v>
      </c>
      <c r="E223" s="27">
        <v>568.45249999999999</v>
      </c>
      <c r="G223" s="23"/>
      <c r="H223" s="23"/>
      <c r="I223" s="23"/>
      <c r="J223" s="27"/>
    </row>
    <row r="224" spans="2:10" x14ac:dyDescent="0.25">
      <c r="B224" s="23">
        <v>22</v>
      </c>
      <c r="C224" s="23" t="s">
        <v>36</v>
      </c>
      <c r="D224" s="23" t="s">
        <v>33</v>
      </c>
      <c r="E224" s="28">
        <v>584.20440000000008</v>
      </c>
      <c r="G224" s="23"/>
      <c r="H224" s="23"/>
      <c r="I224" s="23"/>
      <c r="J224" s="28"/>
    </row>
    <row r="225" spans="2:10" x14ac:dyDescent="0.25">
      <c r="B225" s="23">
        <v>23</v>
      </c>
      <c r="C225" s="23" t="s">
        <v>36</v>
      </c>
      <c r="D225" s="23" t="s">
        <v>33</v>
      </c>
      <c r="E225" s="27">
        <v>641.33977500000003</v>
      </c>
      <c r="G225" s="23"/>
      <c r="H225" s="23"/>
      <c r="I225" s="23"/>
      <c r="J225" s="27"/>
    </row>
    <row r="226" spans="2:10" x14ac:dyDescent="0.25">
      <c r="B226" s="23">
        <v>24</v>
      </c>
      <c r="C226" s="23" t="s">
        <v>36</v>
      </c>
      <c r="D226" s="23" t="s">
        <v>33</v>
      </c>
      <c r="E226" s="28">
        <v>624.40875000000005</v>
      </c>
      <c r="G226" s="23"/>
      <c r="H226" s="23"/>
      <c r="I226" s="23"/>
      <c r="J226" s="28"/>
    </row>
    <row r="227" spans="2:10" x14ac:dyDescent="0.25">
      <c r="B227" s="23">
        <v>25</v>
      </c>
      <c r="C227" s="23" t="s">
        <v>36</v>
      </c>
      <c r="D227" s="23" t="s">
        <v>33</v>
      </c>
      <c r="E227" s="27">
        <v>664.859375</v>
      </c>
      <c r="G227" s="23"/>
      <c r="H227" s="23"/>
      <c r="I227" s="23"/>
      <c r="J227" s="27"/>
    </row>
    <row r="228" spans="2:10" x14ac:dyDescent="0.25">
      <c r="B228" s="23">
        <v>26</v>
      </c>
      <c r="C228" s="23" t="s">
        <v>36</v>
      </c>
      <c r="D228" s="23" t="s">
        <v>33</v>
      </c>
      <c r="E228" s="28">
        <v>736.75237500000003</v>
      </c>
      <c r="G228" s="23"/>
      <c r="H228" s="23"/>
      <c r="I228" s="23"/>
      <c r="J228" s="28"/>
    </row>
    <row r="229" spans="2:10" x14ac:dyDescent="0.25">
      <c r="B229" s="23">
        <v>27</v>
      </c>
      <c r="C229" s="23" t="s">
        <v>36</v>
      </c>
      <c r="D229" s="23" t="s">
        <v>33</v>
      </c>
      <c r="E229" s="27">
        <v>1016.4725999999999</v>
      </c>
      <c r="G229" s="23"/>
      <c r="H229" s="23"/>
      <c r="I229" s="23"/>
      <c r="J229" s="27"/>
    </row>
    <row r="230" spans="2:10" x14ac:dyDescent="0.25">
      <c r="B230" s="23">
        <v>28</v>
      </c>
      <c r="C230" s="23" t="s">
        <v>36</v>
      </c>
      <c r="D230" s="23" t="s">
        <v>33</v>
      </c>
      <c r="E230" s="28">
        <v>787.59337500000004</v>
      </c>
      <c r="G230" s="23"/>
      <c r="H230" s="23"/>
      <c r="I230" s="23"/>
      <c r="J230" s="28"/>
    </row>
    <row r="231" spans="2:10" x14ac:dyDescent="0.25">
      <c r="B231" s="23">
        <v>29</v>
      </c>
      <c r="C231" s="23" t="s">
        <v>36</v>
      </c>
      <c r="D231" s="23" t="s">
        <v>33</v>
      </c>
      <c r="E231" s="27">
        <v>805.13159999999993</v>
      </c>
      <c r="G231" s="23"/>
      <c r="H231" s="23"/>
      <c r="I231" s="23"/>
      <c r="J231" s="27"/>
    </row>
    <row r="232" spans="2:10" x14ac:dyDescent="0.25">
      <c r="B232" s="23">
        <v>30</v>
      </c>
      <c r="C232" s="23" t="s">
        <v>36</v>
      </c>
      <c r="D232" s="23" t="s">
        <v>33</v>
      </c>
      <c r="E232" s="28">
        <v>761.96915999999999</v>
      </c>
      <c r="G232" s="23"/>
      <c r="H232" s="23"/>
      <c r="I232" s="23"/>
      <c r="J232" s="28"/>
    </row>
    <row r="233" spans="2:10" x14ac:dyDescent="0.25">
      <c r="B233" s="23">
        <v>31</v>
      </c>
      <c r="C233" s="23" t="s">
        <v>36</v>
      </c>
      <c r="D233" s="23" t="s">
        <v>33</v>
      </c>
      <c r="E233" s="27">
        <v>793</v>
      </c>
      <c r="G233" s="23"/>
      <c r="H233" s="23"/>
      <c r="I233" s="23"/>
      <c r="J233" s="27"/>
    </row>
    <row r="234" spans="2:10" x14ac:dyDescent="0.25">
      <c r="B234" s="23">
        <v>32</v>
      </c>
      <c r="C234" s="23" t="s">
        <v>36</v>
      </c>
      <c r="D234" s="23" t="s">
        <v>33</v>
      </c>
      <c r="E234" s="28">
        <v>952</v>
      </c>
      <c r="G234" s="23"/>
      <c r="H234" s="23"/>
      <c r="I234" s="23"/>
      <c r="J234" s="28"/>
    </row>
    <row r="235" spans="2:10" x14ac:dyDescent="0.25">
      <c r="B235" s="23">
        <v>33</v>
      </c>
      <c r="C235" s="23" t="s">
        <v>36</v>
      </c>
      <c r="D235" s="23" t="s">
        <v>33</v>
      </c>
      <c r="E235" s="27">
        <v>827</v>
      </c>
      <c r="G235" s="23"/>
      <c r="H235" s="23"/>
      <c r="I235" s="23"/>
      <c r="J235" s="27"/>
    </row>
    <row r="236" spans="2:10" x14ac:dyDescent="0.25">
      <c r="B236" s="23">
        <v>34</v>
      </c>
      <c r="C236" s="23" t="s">
        <v>36</v>
      </c>
      <c r="D236" s="23" t="s">
        <v>33</v>
      </c>
      <c r="E236" s="28">
        <v>873</v>
      </c>
      <c r="G236" s="23"/>
      <c r="H236" s="23"/>
      <c r="I236" s="23"/>
      <c r="J236" s="28"/>
    </row>
    <row r="237" spans="2:10" x14ac:dyDescent="0.25">
      <c r="B237" s="23">
        <v>35</v>
      </c>
      <c r="C237" s="23" t="s">
        <v>36</v>
      </c>
      <c r="D237" s="23" t="s">
        <v>33</v>
      </c>
      <c r="E237" s="27">
        <v>860</v>
      </c>
      <c r="G237" s="23"/>
      <c r="H237" s="23"/>
      <c r="I237" s="23"/>
      <c r="J237" s="27"/>
    </row>
    <row r="238" spans="2:10" x14ac:dyDescent="0.25">
      <c r="B238" s="23">
        <v>36</v>
      </c>
      <c r="C238" s="23" t="s">
        <v>36</v>
      </c>
      <c r="D238" s="23" t="s">
        <v>33</v>
      </c>
      <c r="E238" s="28">
        <v>755</v>
      </c>
      <c r="G238" s="23"/>
      <c r="H238" s="23"/>
      <c r="I238" s="23"/>
      <c r="J238" s="28"/>
    </row>
    <row r="239" spans="2:10" x14ac:dyDescent="0.25">
      <c r="B239" s="23">
        <v>37</v>
      </c>
      <c r="C239" s="23" t="s">
        <v>36</v>
      </c>
      <c r="D239" s="23" t="s">
        <v>33</v>
      </c>
      <c r="E239" s="27">
        <v>703</v>
      </c>
      <c r="G239" s="23"/>
      <c r="H239" s="23"/>
      <c r="I239" s="23"/>
      <c r="J239" s="27"/>
    </row>
    <row r="240" spans="2:10" x14ac:dyDescent="0.25">
      <c r="B240" s="23">
        <v>38</v>
      </c>
      <c r="C240" s="23" t="s">
        <v>36</v>
      </c>
      <c r="D240" s="23" t="s">
        <v>33</v>
      </c>
      <c r="E240" s="29">
        <v>750</v>
      </c>
      <c r="G240" s="23"/>
      <c r="H240" s="23"/>
      <c r="I240" s="23"/>
      <c r="J240" s="29"/>
    </row>
    <row r="241" spans="2:10" x14ac:dyDescent="0.25">
      <c r="B241" s="23">
        <v>39</v>
      </c>
      <c r="C241" s="23" t="s">
        <v>36</v>
      </c>
      <c r="D241" s="23" t="s">
        <v>33</v>
      </c>
      <c r="E241" s="30">
        <v>511.17660000000001</v>
      </c>
      <c r="G241" s="23"/>
      <c r="H241" s="23"/>
      <c r="I241" s="23"/>
      <c r="J241" s="30"/>
    </row>
    <row r="242" spans="2:10" x14ac:dyDescent="0.25">
      <c r="B242" s="23">
        <v>40</v>
      </c>
      <c r="C242" s="23" t="s">
        <v>36</v>
      </c>
      <c r="D242" s="23" t="s">
        <v>33</v>
      </c>
      <c r="E242" s="32">
        <v>774.04</v>
      </c>
      <c r="G242" s="23"/>
      <c r="H242" s="23"/>
      <c r="I242" s="23"/>
      <c r="J242" s="32"/>
    </row>
    <row r="243" spans="2:10" x14ac:dyDescent="0.25">
      <c r="B243" s="23">
        <v>1</v>
      </c>
      <c r="C243" s="23" t="s">
        <v>37</v>
      </c>
      <c r="D243" s="23" t="s">
        <v>33</v>
      </c>
      <c r="E243" s="41">
        <v>135.63144</v>
      </c>
      <c r="G243" s="23"/>
      <c r="H243" s="23"/>
      <c r="I243" s="23"/>
      <c r="J243" s="41"/>
    </row>
    <row r="244" spans="2:10" x14ac:dyDescent="0.25">
      <c r="B244" s="23">
        <v>2</v>
      </c>
      <c r="C244" s="23" t="s">
        <v>37</v>
      </c>
      <c r="D244" s="23" t="s">
        <v>33</v>
      </c>
      <c r="E244" s="42">
        <v>156.50205</v>
      </c>
      <c r="G244" s="23"/>
      <c r="H244" s="23"/>
      <c r="I244" s="23"/>
      <c r="J244" s="42"/>
    </row>
    <row r="245" spans="2:10" x14ac:dyDescent="0.25">
      <c r="B245" s="23">
        <v>3</v>
      </c>
      <c r="C245" s="23" t="s">
        <v>37</v>
      </c>
      <c r="D245" s="23" t="s">
        <v>33</v>
      </c>
      <c r="E245" s="41">
        <v>181.31724</v>
      </c>
      <c r="G245" s="23"/>
      <c r="H245" s="23"/>
      <c r="I245" s="23"/>
      <c r="J245" s="41"/>
    </row>
    <row r="246" spans="2:10" x14ac:dyDescent="0.25">
      <c r="B246" s="23">
        <v>4</v>
      </c>
      <c r="C246" s="23" t="s">
        <v>37</v>
      </c>
      <c r="D246" s="23" t="s">
        <v>33</v>
      </c>
      <c r="E246" s="42">
        <v>262.86279999999999</v>
      </c>
      <c r="G246" s="23"/>
      <c r="H246" s="23"/>
      <c r="I246" s="23"/>
      <c r="J246" s="42"/>
    </row>
    <row r="247" spans="2:10" x14ac:dyDescent="0.25">
      <c r="B247" s="23">
        <v>5</v>
      </c>
      <c r="C247" s="23" t="s">
        <v>37</v>
      </c>
      <c r="D247" s="23" t="s">
        <v>33</v>
      </c>
      <c r="E247" s="41">
        <v>275.25749999999999</v>
      </c>
      <c r="G247" s="23"/>
      <c r="H247" s="23"/>
      <c r="I247" s="23"/>
      <c r="J247" s="41"/>
    </row>
    <row r="248" spans="2:10" x14ac:dyDescent="0.25">
      <c r="B248" s="23">
        <v>6</v>
      </c>
      <c r="C248" s="23" t="s">
        <v>37</v>
      </c>
      <c r="D248" s="23" t="s">
        <v>33</v>
      </c>
      <c r="E248" s="42">
        <v>312.33457500000003</v>
      </c>
      <c r="G248" s="23"/>
      <c r="H248" s="23"/>
      <c r="I248" s="23"/>
      <c r="J248" s="42"/>
    </row>
    <row r="249" spans="2:10" x14ac:dyDescent="0.25">
      <c r="B249" s="23">
        <v>7</v>
      </c>
      <c r="C249" s="23" t="s">
        <v>37</v>
      </c>
      <c r="D249" s="23" t="s">
        <v>33</v>
      </c>
      <c r="E249" s="41">
        <v>293.72194999999999</v>
      </c>
      <c r="G249" s="23"/>
      <c r="H249" s="23"/>
      <c r="I249" s="23"/>
      <c r="J249" s="41"/>
    </row>
    <row r="250" spans="2:10" x14ac:dyDescent="0.25">
      <c r="B250" s="23">
        <v>8</v>
      </c>
      <c r="C250" s="23" t="s">
        <v>37</v>
      </c>
      <c r="D250" s="23" t="s">
        <v>33</v>
      </c>
      <c r="E250" s="42">
        <v>179.49007999999998</v>
      </c>
      <c r="G250" s="23"/>
      <c r="H250" s="23"/>
      <c r="I250" s="23"/>
      <c r="J250" s="42"/>
    </row>
    <row r="251" spans="2:10" x14ac:dyDescent="0.25">
      <c r="B251" s="23">
        <v>9</v>
      </c>
      <c r="C251" s="23" t="s">
        <v>37</v>
      </c>
      <c r="D251" s="23" t="s">
        <v>33</v>
      </c>
      <c r="E251" s="41">
        <v>276.41088000000002</v>
      </c>
      <c r="G251" s="23"/>
      <c r="H251" s="23"/>
      <c r="I251" s="23"/>
      <c r="J251" s="41"/>
    </row>
    <row r="252" spans="2:10" x14ac:dyDescent="0.25">
      <c r="B252" s="23">
        <v>10</v>
      </c>
      <c r="C252" s="23" t="s">
        <v>37</v>
      </c>
      <c r="D252" s="23" t="s">
        <v>33</v>
      </c>
      <c r="E252" s="42">
        <v>290.83679999999998</v>
      </c>
      <c r="G252" s="23"/>
      <c r="H252" s="23"/>
      <c r="I252" s="23"/>
      <c r="J252" s="42"/>
    </row>
    <row r="253" spans="2:10" x14ac:dyDescent="0.25">
      <c r="B253" s="23">
        <v>11</v>
      </c>
      <c r="C253" s="23" t="s">
        <v>37</v>
      </c>
      <c r="D253" s="23" t="s">
        <v>33</v>
      </c>
      <c r="E253" s="41">
        <v>414.77969999999999</v>
      </c>
      <c r="G253" s="23"/>
      <c r="H253" s="23"/>
      <c r="I253" s="23"/>
      <c r="J253" s="41"/>
    </row>
    <row r="254" spans="2:10" x14ac:dyDescent="0.25">
      <c r="B254" s="23">
        <v>12</v>
      </c>
      <c r="C254" s="23" t="s">
        <v>37</v>
      </c>
      <c r="D254" s="23" t="s">
        <v>33</v>
      </c>
      <c r="E254" s="42">
        <v>318.19607999999999</v>
      </c>
      <c r="G254" s="23"/>
      <c r="H254" s="23"/>
      <c r="I254" s="23"/>
      <c r="J254" s="42"/>
    </row>
    <row r="255" spans="2:10" x14ac:dyDescent="0.25">
      <c r="B255" s="23">
        <v>13</v>
      </c>
      <c r="C255" s="23" t="s">
        <v>37</v>
      </c>
      <c r="D255" s="23" t="s">
        <v>33</v>
      </c>
      <c r="E255" s="41">
        <v>366.81119999999999</v>
      </c>
      <c r="G255" s="23"/>
      <c r="H255" s="23"/>
      <c r="I255" s="23"/>
      <c r="J255" s="41"/>
    </row>
    <row r="256" spans="2:10" x14ac:dyDescent="0.25">
      <c r="B256" s="23">
        <v>14</v>
      </c>
      <c r="C256" s="23" t="s">
        <v>37</v>
      </c>
      <c r="D256" s="23" t="s">
        <v>33</v>
      </c>
      <c r="E256" s="42">
        <v>309.72283000000004</v>
      </c>
      <c r="G256" s="23"/>
      <c r="H256" s="23"/>
      <c r="I256" s="23"/>
      <c r="J256" s="42"/>
    </row>
    <row r="257" spans="2:10" x14ac:dyDescent="0.25">
      <c r="B257" s="23">
        <v>15</v>
      </c>
      <c r="C257" s="23" t="s">
        <v>37</v>
      </c>
      <c r="D257" s="23" t="s">
        <v>33</v>
      </c>
      <c r="E257" s="41">
        <v>217.65600000000001</v>
      </c>
      <c r="G257" s="23"/>
      <c r="H257" s="23"/>
      <c r="I257" s="23"/>
      <c r="J257" s="41"/>
    </row>
    <row r="258" spans="2:10" x14ac:dyDescent="0.25">
      <c r="B258" s="23">
        <v>16</v>
      </c>
      <c r="C258" s="23" t="s">
        <v>37</v>
      </c>
      <c r="D258" s="23" t="s">
        <v>33</v>
      </c>
      <c r="E258" s="42">
        <v>301.24423999999999</v>
      </c>
      <c r="G258" s="23"/>
      <c r="H258" s="23"/>
      <c r="I258" s="23"/>
      <c r="J258" s="42"/>
    </row>
    <row r="259" spans="2:10" x14ac:dyDescent="0.25">
      <c r="B259" s="23">
        <v>17</v>
      </c>
      <c r="C259" s="23" t="s">
        <v>37</v>
      </c>
      <c r="D259" s="23" t="s">
        <v>33</v>
      </c>
      <c r="E259" s="41">
        <v>212.29852499999998</v>
      </c>
      <c r="G259" s="23"/>
      <c r="H259" s="23"/>
      <c r="I259" s="23"/>
      <c r="J259" s="41"/>
    </row>
    <row r="260" spans="2:10" x14ac:dyDescent="0.25">
      <c r="B260" s="23">
        <v>18</v>
      </c>
      <c r="C260" s="23" t="s">
        <v>37</v>
      </c>
      <c r="D260" s="23" t="s">
        <v>33</v>
      </c>
      <c r="E260" s="42">
        <v>306.67571999999996</v>
      </c>
      <c r="G260" s="23"/>
      <c r="H260" s="23"/>
      <c r="I260" s="23"/>
      <c r="J260" s="42"/>
    </row>
    <row r="261" spans="2:10" x14ac:dyDescent="0.25">
      <c r="B261" s="23">
        <v>19</v>
      </c>
      <c r="C261" s="23" t="s">
        <v>37</v>
      </c>
      <c r="D261" s="23" t="s">
        <v>33</v>
      </c>
      <c r="E261" s="41">
        <v>317.18609999999995</v>
      </c>
      <c r="G261" s="23"/>
      <c r="H261" s="23"/>
      <c r="I261" s="23"/>
      <c r="J261" s="41"/>
    </row>
    <row r="262" spans="2:10" x14ac:dyDescent="0.25">
      <c r="B262" s="23">
        <v>20</v>
      </c>
      <c r="C262" s="23" t="s">
        <v>37</v>
      </c>
      <c r="D262" s="23" t="s">
        <v>33</v>
      </c>
      <c r="E262" s="42">
        <v>322.86738000000003</v>
      </c>
      <c r="G262" s="23"/>
      <c r="H262" s="23"/>
      <c r="I262" s="23"/>
      <c r="J262" s="42"/>
    </row>
    <row r="263" spans="2:10" x14ac:dyDescent="0.25">
      <c r="B263" s="23">
        <v>21</v>
      </c>
      <c r="C263" s="23" t="s">
        <v>37</v>
      </c>
      <c r="D263" s="23" t="s">
        <v>33</v>
      </c>
      <c r="E263" s="41">
        <v>300.5958</v>
      </c>
      <c r="G263" s="23"/>
      <c r="H263" s="23"/>
      <c r="I263" s="23"/>
      <c r="J263" s="41"/>
    </row>
    <row r="264" spans="2:10" x14ac:dyDescent="0.25">
      <c r="B264" s="23">
        <v>22</v>
      </c>
      <c r="C264" s="23" t="s">
        <v>37</v>
      </c>
      <c r="D264" s="23" t="s">
        <v>33</v>
      </c>
      <c r="E264" s="42">
        <v>253.64664000000002</v>
      </c>
      <c r="G264" s="23"/>
      <c r="H264" s="23"/>
      <c r="I264" s="23"/>
      <c r="J264" s="42"/>
    </row>
    <row r="265" spans="2:10" x14ac:dyDescent="0.25">
      <c r="B265" s="23">
        <v>23</v>
      </c>
      <c r="C265" s="23" t="s">
        <v>37</v>
      </c>
      <c r="D265" s="23" t="s">
        <v>33</v>
      </c>
      <c r="E265" s="41">
        <v>214.69979999999998</v>
      </c>
      <c r="G265" s="23"/>
      <c r="H265" s="23"/>
      <c r="I265" s="23"/>
      <c r="J265" s="41"/>
    </row>
    <row r="266" spans="2:10" x14ac:dyDescent="0.25">
      <c r="B266" s="23">
        <v>24</v>
      </c>
      <c r="C266" s="23" t="s">
        <v>37</v>
      </c>
      <c r="D266" s="23" t="s">
        <v>33</v>
      </c>
      <c r="E266" s="42">
        <v>227.22726999999998</v>
      </c>
      <c r="G266" s="23"/>
      <c r="H266" s="23"/>
      <c r="I266" s="23"/>
      <c r="J266" s="42"/>
    </row>
    <row r="267" spans="2:10" x14ac:dyDescent="0.25">
      <c r="B267" s="23">
        <v>25</v>
      </c>
      <c r="C267" s="23" t="s">
        <v>37</v>
      </c>
      <c r="D267" s="23" t="s">
        <v>33</v>
      </c>
      <c r="E267" s="27">
        <v>236.43144000000001</v>
      </c>
      <c r="G267" s="23"/>
      <c r="H267" s="23"/>
      <c r="I267" s="23"/>
      <c r="J267" s="27"/>
    </row>
    <row r="268" spans="2:10" x14ac:dyDescent="0.25">
      <c r="B268" s="23">
        <v>26</v>
      </c>
      <c r="C268" s="23" t="s">
        <v>37</v>
      </c>
      <c r="D268" s="23" t="s">
        <v>33</v>
      </c>
      <c r="E268" s="28">
        <v>263.09505598504091</v>
      </c>
      <c r="G268" s="23"/>
      <c r="H268" s="23"/>
      <c r="I268" s="23"/>
      <c r="J268" s="28"/>
    </row>
    <row r="269" spans="2:10" x14ac:dyDescent="0.25">
      <c r="B269" s="23">
        <v>27</v>
      </c>
      <c r="C269" s="23" t="s">
        <v>37</v>
      </c>
      <c r="D269" s="23" t="s">
        <v>33</v>
      </c>
      <c r="E269" s="27">
        <v>256.69900000000001</v>
      </c>
      <c r="G269" s="23"/>
      <c r="H269" s="23"/>
      <c r="I269" s="23"/>
      <c r="J269" s="27"/>
    </row>
    <row r="270" spans="2:10" x14ac:dyDescent="0.25">
      <c r="B270" s="23">
        <v>28</v>
      </c>
      <c r="C270" s="23" t="s">
        <v>37</v>
      </c>
      <c r="D270" s="23" t="s">
        <v>33</v>
      </c>
      <c r="E270" s="28">
        <v>278.59157999999996</v>
      </c>
      <c r="G270" s="23"/>
      <c r="H270" s="23"/>
      <c r="I270" s="23"/>
      <c r="J270" s="28"/>
    </row>
    <row r="271" spans="2:10" x14ac:dyDescent="0.25">
      <c r="B271" s="23">
        <v>29</v>
      </c>
      <c r="C271" s="23" t="s">
        <v>37</v>
      </c>
      <c r="D271" s="23" t="s">
        <v>33</v>
      </c>
      <c r="E271" s="27">
        <v>246.32350124999991</v>
      </c>
      <c r="G271" s="23"/>
      <c r="H271" s="23"/>
      <c r="I271" s="23"/>
      <c r="J271" s="27"/>
    </row>
    <row r="272" spans="2:10" x14ac:dyDescent="0.25">
      <c r="B272" s="23">
        <v>30</v>
      </c>
      <c r="C272" s="23" t="s">
        <v>37</v>
      </c>
      <c r="D272" s="23" t="s">
        <v>33</v>
      </c>
      <c r="E272" s="28">
        <v>227.92897093510683</v>
      </c>
      <c r="G272" s="23"/>
      <c r="H272" s="23"/>
      <c r="I272" s="23"/>
      <c r="J272" s="28"/>
    </row>
    <row r="273" spans="2:10" x14ac:dyDescent="0.25">
      <c r="B273" s="23">
        <v>31</v>
      </c>
      <c r="C273" s="23" t="s">
        <v>37</v>
      </c>
      <c r="D273" s="23" t="s">
        <v>33</v>
      </c>
      <c r="E273" s="27">
        <v>220.81370000000004</v>
      </c>
      <c r="G273" s="23"/>
      <c r="H273" s="23"/>
      <c r="I273" s="23"/>
      <c r="J273" s="27"/>
    </row>
    <row r="274" spans="2:10" x14ac:dyDescent="0.25">
      <c r="B274" s="23">
        <v>32</v>
      </c>
      <c r="C274" s="23" t="s">
        <v>37</v>
      </c>
      <c r="D274" s="23" t="s">
        <v>33</v>
      </c>
      <c r="E274" s="28">
        <v>227.03035499999993</v>
      </c>
      <c r="G274" s="23"/>
      <c r="H274" s="23"/>
      <c r="I274" s="23"/>
      <c r="J274" s="28"/>
    </row>
    <row r="275" spans="2:10" x14ac:dyDescent="0.25">
      <c r="B275" s="23">
        <v>33</v>
      </c>
      <c r="C275" s="23" t="s">
        <v>37</v>
      </c>
      <c r="D275" s="23" t="s">
        <v>33</v>
      </c>
      <c r="E275" s="27">
        <v>233.89192761787518</v>
      </c>
      <c r="G275" s="23"/>
      <c r="H275" s="23"/>
      <c r="I275" s="23"/>
      <c r="J275" s="27"/>
    </row>
    <row r="276" spans="2:10" x14ac:dyDescent="0.25">
      <c r="B276" s="23">
        <v>34</v>
      </c>
      <c r="C276" s="23" t="s">
        <v>37</v>
      </c>
      <c r="D276" s="23" t="s">
        <v>33</v>
      </c>
      <c r="E276" s="28">
        <v>216</v>
      </c>
      <c r="G276" s="23"/>
      <c r="H276" s="23"/>
      <c r="I276" s="23"/>
      <c r="J276" s="28"/>
    </row>
    <row r="277" spans="2:10" x14ac:dyDescent="0.25">
      <c r="B277" s="23">
        <v>35</v>
      </c>
      <c r="C277" s="23" t="s">
        <v>37</v>
      </c>
      <c r="D277" s="23" t="s">
        <v>33</v>
      </c>
      <c r="E277" s="27">
        <v>198</v>
      </c>
      <c r="G277" s="23"/>
      <c r="H277" s="23"/>
      <c r="I277" s="23"/>
      <c r="J277" s="27"/>
    </row>
    <row r="278" spans="2:10" x14ac:dyDescent="0.25">
      <c r="B278" s="23">
        <v>36</v>
      </c>
      <c r="C278" s="23" t="s">
        <v>37</v>
      </c>
      <c r="D278" s="23" t="s">
        <v>33</v>
      </c>
      <c r="E278" s="28">
        <v>138</v>
      </c>
      <c r="G278" s="23"/>
      <c r="H278" s="23"/>
      <c r="I278" s="23"/>
      <c r="J278" s="28"/>
    </row>
    <row r="279" spans="2:10" x14ac:dyDescent="0.25">
      <c r="B279" s="23">
        <v>37</v>
      </c>
      <c r="C279" s="23" t="s">
        <v>37</v>
      </c>
      <c r="D279" s="23" t="s">
        <v>33</v>
      </c>
      <c r="E279" s="27">
        <v>184</v>
      </c>
      <c r="G279" s="23"/>
      <c r="H279" s="23"/>
      <c r="I279" s="23"/>
      <c r="J279" s="27"/>
    </row>
    <row r="280" spans="2:10" x14ac:dyDescent="0.25">
      <c r="B280" s="23">
        <v>38</v>
      </c>
      <c r="C280" s="23" t="s">
        <v>37</v>
      </c>
      <c r="D280" s="23" t="s">
        <v>33</v>
      </c>
      <c r="E280" s="29">
        <v>175</v>
      </c>
      <c r="G280" s="23"/>
      <c r="H280" s="23"/>
      <c r="I280" s="23"/>
      <c r="J280" s="29"/>
    </row>
    <row r="281" spans="2:10" x14ac:dyDescent="0.25">
      <c r="B281" s="23">
        <v>39</v>
      </c>
      <c r="C281" s="23" t="s">
        <v>37</v>
      </c>
      <c r="D281" s="23" t="s">
        <v>33</v>
      </c>
      <c r="E281" s="30">
        <v>94.250520000000009</v>
      </c>
      <c r="G281" s="23"/>
      <c r="H281" s="23"/>
      <c r="I281" s="23"/>
      <c r="J281" s="30"/>
    </row>
    <row r="282" spans="2:10" x14ac:dyDescent="0.25">
      <c r="B282" s="23">
        <v>40</v>
      </c>
      <c r="C282" s="23" t="s">
        <v>37</v>
      </c>
      <c r="D282" s="23" t="s">
        <v>33</v>
      </c>
      <c r="E282" s="32">
        <v>89.99991</v>
      </c>
      <c r="G282" s="23"/>
      <c r="H282" s="23"/>
      <c r="I282" s="23"/>
      <c r="J282" s="32"/>
    </row>
    <row r="283" spans="2:10" x14ac:dyDescent="0.25">
      <c r="B283" s="23">
        <v>1</v>
      </c>
      <c r="C283" s="23" t="s">
        <v>37</v>
      </c>
      <c r="D283" s="23" t="s">
        <v>32</v>
      </c>
      <c r="E283" s="27">
        <v>375.13934</v>
      </c>
      <c r="G283" s="23"/>
      <c r="H283" s="23"/>
      <c r="I283" s="23"/>
      <c r="J283" s="27"/>
    </row>
    <row r="284" spans="2:10" x14ac:dyDescent="0.25">
      <c r="B284" s="23">
        <v>2</v>
      </c>
      <c r="C284" s="23" t="s">
        <v>37</v>
      </c>
      <c r="D284" s="23" t="s">
        <v>32</v>
      </c>
      <c r="E284" s="28">
        <v>446.99182000000002</v>
      </c>
      <c r="G284" s="23"/>
      <c r="H284" s="23"/>
      <c r="I284" s="23"/>
      <c r="J284" s="28"/>
    </row>
    <row r="285" spans="2:10" x14ac:dyDescent="0.25">
      <c r="B285" s="23">
        <v>3</v>
      </c>
      <c r="C285" s="23" t="s">
        <v>37</v>
      </c>
      <c r="D285" s="23" t="s">
        <v>32</v>
      </c>
      <c r="E285" s="27">
        <v>506.62170000000003</v>
      </c>
      <c r="G285" s="23"/>
      <c r="H285" s="23"/>
      <c r="I285" s="23"/>
      <c r="J285" s="27"/>
    </row>
    <row r="286" spans="2:10" x14ac:dyDescent="0.25">
      <c r="B286" s="23">
        <v>4</v>
      </c>
      <c r="C286" s="23" t="s">
        <v>37</v>
      </c>
      <c r="D286" s="23" t="s">
        <v>32</v>
      </c>
      <c r="E286" s="28">
        <v>620.92456000000004</v>
      </c>
      <c r="G286" s="23"/>
      <c r="H286" s="23"/>
      <c r="I286" s="23"/>
      <c r="J286" s="28"/>
    </row>
    <row r="287" spans="2:10" x14ac:dyDescent="0.25">
      <c r="B287" s="23">
        <v>5</v>
      </c>
      <c r="C287" s="23" t="s">
        <v>37</v>
      </c>
      <c r="D287" s="23" t="s">
        <v>32</v>
      </c>
      <c r="E287" s="27">
        <v>563.62249999999995</v>
      </c>
      <c r="G287" s="23"/>
      <c r="H287" s="23"/>
      <c r="I287" s="23"/>
      <c r="J287" s="27"/>
    </row>
    <row r="288" spans="2:10" x14ac:dyDescent="0.25">
      <c r="B288" s="23">
        <v>6</v>
      </c>
      <c r="C288" s="23" t="s">
        <v>37</v>
      </c>
      <c r="D288" s="23" t="s">
        <v>32</v>
      </c>
      <c r="E288" s="28">
        <v>743.65374999999995</v>
      </c>
      <c r="G288" s="23"/>
      <c r="H288" s="23"/>
      <c r="I288" s="23"/>
      <c r="J288" s="28"/>
    </row>
    <row r="289" spans="2:10" x14ac:dyDescent="0.25">
      <c r="B289" s="23">
        <v>7</v>
      </c>
      <c r="C289" s="23" t="s">
        <v>37</v>
      </c>
      <c r="D289" s="23" t="s">
        <v>32</v>
      </c>
      <c r="E289" s="27">
        <v>647.01780000000008</v>
      </c>
      <c r="G289" s="23"/>
      <c r="H289" s="23"/>
      <c r="I289" s="23"/>
      <c r="J289" s="27"/>
    </row>
    <row r="290" spans="2:10" x14ac:dyDescent="0.25">
      <c r="B290" s="23">
        <v>8</v>
      </c>
      <c r="C290" s="23" t="s">
        <v>37</v>
      </c>
      <c r="D290" s="23" t="s">
        <v>32</v>
      </c>
      <c r="E290" s="28">
        <v>438.82684999999998</v>
      </c>
      <c r="G290" s="23"/>
      <c r="H290" s="23"/>
      <c r="I290" s="23"/>
      <c r="J290" s="28"/>
    </row>
    <row r="291" spans="2:10" x14ac:dyDescent="0.25">
      <c r="B291" s="23">
        <v>9</v>
      </c>
      <c r="C291" s="23" t="s">
        <v>37</v>
      </c>
      <c r="D291" s="23" t="s">
        <v>32</v>
      </c>
      <c r="E291" s="27">
        <v>597.10464000000002</v>
      </c>
      <c r="G291" s="23"/>
      <c r="H291" s="23"/>
      <c r="I291" s="23"/>
      <c r="J291" s="27"/>
    </row>
    <row r="292" spans="2:10" x14ac:dyDescent="0.25">
      <c r="B292" s="23">
        <v>10</v>
      </c>
      <c r="C292" s="23" t="s">
        <v>37</v>
      </c>
      <c r="D292" s="23" t="s">
        <v>32</v>
      </c>
      <c r="E292" s="28">
        <v>677.40737999999999</v>
      </c>
      <c r="G292" s="23"/>
      <c r="H292" s="23"/>
      <c r="I292" s="23"/>
      <c r="J292" s="28"/>
    </row>
    <row r="293" spans="2:10" x14ac:dyDescent="0.25">
      <c r="B293" s="23">
        <v>11</v>
      </c>
      <c r="C293" s="23" t="s">
        <v>37</v>
      </c>
      <c r="D293" s="23" t="s">
        <v>32</v>
      </c>
      <c r="E293" s="27">
        <v>808.82041500000003</v>
      </c>
      <c r="G293" s="23"/>
      <c r="H293" s="23"/>
      <c r="I293" s="23"/>
      <c r="J293" s="27"/>
    </row>
    <row r="294" spans="2:10" x14ac:dyDescent="0.25">
      <c r="B294" s="23">
        <v>12</v>
      </c>
      <c r="C294" s="23" t="s">
        <v>37</v>
      </c>
      <c r="D294" s="23" t="s">
        <v>32</v>
      </c>
      <c r="E294" s="28">
        <v>717.88139999999999</v>
      </c>
      <c r="G294" s="23"/>
      <c r="H294" s="23"/>
      <c r="I294" s="23"/>
      <c r="J294" s="28"/>
    </row>
    <row r="295" spans="2:10" x14ac:dyDescent="0.25">
      <c r="B295" s="23">
        <v>13</v>
      </c>
      <c r="C295" s="23" t="s">
        <v>37</v>
      </c>
      <c r="D295" s="23" t="s">
        <v>32</v>
      </c>
      <c r="E295" s="27">
        <v>715.28183999999999</v>
      </c>
      <c r="G295" s="23"/>
      <c r="H295" s="23"/>
      <c r="I295" s="23"/>
      <c r="J295" s="27"/>
    </row>
    <row r="296" spans="2:10" x14ac:dyDescent="0.25">
      <c r="B296" s="23">
        <v>14</v>
      </c>
      <c r="C296" s="23" t="s">
        <v>37</v>
      </c>
      <c r="D296" s="23" t="s">
        <v>32</v>
      </c>
      <c r="E296" s="28">
        <v>718.06584499999997</v>
      </c>
      <c r="G296" s="23"/>
      <c r="H296" s="23"/>
      <c r="I296" s="23"/>
      <c r="J296" s="28"/>
    </row>
    <row r="297" spans="2:10" x14ac:dyDescent="0.25">
      <c r="B297" s="23">
        <v>15</v>
      </c>
      <c r="C297" s="23" t="s">
        <v>37</v>
      </c>
      <c r="D297" s="23" t="s">
        <v>32</v>
      </c>
      <c r="E297" s="27">
        <v>634.83000000000004</v>
      </c>
      <c r="G297" s="23"/>
      <c r="H297" s="23"/>
      <c r="I297" s="23"/>
      <c r="J297" s="27"/>
    </row>
    <row r="298" spans="2:10" x14ac:dyDescent="0.25">
      <c r="B298" s="23">
        <v>16</v>
      </c>
      <c r="C298" s="23" t="s">
        <v>37</v>
      </c>
      <c r="D298" s="23" t="s">
        <v>32</v>
      </c>
      <c r="E298" s="28">
        <v>622.66751999999997</v>
      </c>
      <c r="G298" s="23"/>
      <c r="H298" s="23"/>
      <c r="I298" s="23"/>
      <c r="J298" s="28"/>
    </row>
    <row r="299" spans="2:10" x14ac:dyDescent="0.25">
      <c r="B299" s="23">
        <v>17</v>
      </c>
      <c r="C299" s="23" t="s">
        <v>37</v>
      </c>
      <c r="D299" s="23" t="s">
        <v>32</v>
      </c>
      <c r="E299" s="27">
        <v>576.00374999999997</v>
      </c>
      <c r="G299" s="23"/>
      <c r="H299" s="23"/>
      <c r="I299" s="23"/>
      <c r="J299" s="27"/>
    </row>
    <row r="300" spans="2:10" x14ac:dyDescent="0.25">
      <c r="B300" s="23">
        <v>18</v>
      </c>
      <c r="C300" s="23" t="s">
        <v>37</v>
      </c>
      <c r="D300" s="23" t="s">
        <v>32</v>
      </c>
      <c r="E300" s="28">
        <v>642.51184499999999</v>
      </c>
      <c r="G300" s="23"/>
      <c r="H300" s="23"/>
      <c r="I300" s="23"/>
      <c r="J300" s="28"/>
    </row>
    <row r="301" spans="2:10" x14ac:dyDescent="0.25">
      <c r="B301" s="23">
        <v>19</v>
      </c>
      <c r="C301" s="23" t="s">
        <v>37</v>
      </c>
      <c r="D301" s="23" t="s">
        <v>32</v>
      </c>
      <c r="E301" s="27">
        <v>751.21007499999996</v>
      </c>
      <c r="G301" s="23"/>
      <c r="H301" s="23"/>
      <c r="I301" s="23"/>
      <c r="J301" s="27"/>
    </row>
    <row r="302" spans="2:10" x14ac:dyDescent="0.25">
      <c r="B302" s="23">
        <v>20</v>
      </c>
      <c r="C302" s="23" t="s">
        <v>37</v>
      </c>
      <c r="D302" s="23" t="s">
        <v>32</v>
      </c>
      <c r="E302" s="28">
        <v>722.97576000000004</v>
      </c>
      <c r="G302" s="23"/>
      <c r="H302" s="23"/>
      <c r="I302" s="23"/>
      <c r="J302" s="28"/>
    </row>
    <row r="303" spans="2:10" x14ac:dyDescent="0.25">
      <c r="B303" s="23">
        <v>21</v>
      </c>
      <c r="C303" s="23" t="s">
        <v>37</v>
      </c>
      <c r="D303" s="23" t="s">
        <v>32</v>
      </c>
      <c r="E303" s="27">
        <v>679.48631999999998</v>
      </c>
      <c r="G303" s="23"/>
      <c r="H303" s="23"/>
      <c r="I303" s="23"/>
      <c r="J303" s="27"/>
    </row>
    <row r="304" spans="2:10" x14ac:dyDescent="0.25">
      <c r="B304" s="23">
        <v>22</v>
      </c>
      <c r="C304" s="23" t="s">
        <v>37</v>
      </c>
      <c r="D304" s="23" t="s">
        <v>32</v>
      </c>
      <c r="E304" s="28">
        <v>687.95328000000006</v>
      </c>
      <c r="G304" s="23"/>
      <c r="H304" s="23"/>
      <c r="I304" s="23"/>
      <c r="J304" s="28"/>
    </row>
    <row r="305" spans="2:10" x14ac:dyDescent="0.25">
      <c r="B305" s="23">
        <v>23</v>
      </c>
      <c r="C305" s="23" t="s">
        <v>37</v>
      </c>
      <c r="D305" s="23" t="s">
        <v>32</v>
      </c>
      <c r="E305" s="27">
        <v>736.11360000000002</v>
      </c>
      <c r="G305" s="23"/>
      <c r="H305" s="23"/>
      <c r="I305" s="23"/>
      <c r="J305" s="27"/>
    </row>
    <row r="306" spans="2:10" x14ac:dyDescent="0.25">
      <c r="B306" s="23">
        <v>24</v>
      </c>
      <c r="C306" s="23" t="s">
        <v>37</v>
      </c>
      <c r="D306" s="23" t="s">
        <v>32</v>
      </c>
      <c r="E306" s="28">
        <v>726.35342500000002</v>
      </c>
      <c r="G306" s="23"/>
      <c r="H306" s="23"/>
      <c r="I306" s="23"/>
      <c r="J306" s="28"/>
    </row>
    <row r="307" spans="2:10" x14ac:dyDescent="0.25">
      <c r="B307" s="23">
        <v>25</v>
      </c>
      <c r="C307" s="23" t="s">
        <v>37</v>
      </c>
      <c r="D307" s="23" t="s">
        <v>32</v>
      </c>
      <c r="E307" s="27">
        <v>718.62714000000005</v>
      </c>
      <c r="G307" s="23"/>
      <c r="H307" s="23"/>
      <c r="I307" s="23"/>
      <c r="J307" s="27"/>
    </row>
    <row r="308" spans="2:10" x14ac:dyDescent="0.25">
      <c r="B308" s="23">
        <v>26</v>
      </c>
      <c r="C308" s="23" t="s">
        <v>37</v>
      </c>
      <c r="D308" s="23" t="s">
        <v>32</v>
      </c>
      <c r="E308" s="28">
        <v>755.45567284761319</v>
      </c>
      <c r="G308" s="23"/>
      <c r="H308" s="23"/>
      <c r="I308" s="23"/>
      <c r="J308" s="28"/>
    </row>
    <row r="309" spans="2:10" x14ac:dyDescent="0.25">
      <c r="B309" s="23">
        <v>27</v>
      </c>
      <c r="C309" s="23" t="s">
        <v>37</v>
      </c>
      <c r="D309" s="23" t="s">
        <v>32</v>
      </c>
      <c r="E309" s="27">
        <v>718.622345</v>
      </c>
      <c r="G309" s="23"/>
      <c r="H309" s="23"/>
      <c r="I309" s="23"/>
      <c r="J309" s="27"/>
    </row>
    <row r="310" spans="2:10" x14ac:dyDescent="0.25">
      <c r="B310" s="23">
        <v>28</v>
      </c>
      <c r="C310" s="23" t="s">
        <v>37</v>
      </c>
      <c r="D310" s="23" t="s">
        <v>32</v>
      </c>
      <c r="E310" s="28">
        <v>735.48577</v>
      </c>
      <c r="G310" s="23"/>
      <c r="H310" s="23"/>
      <c r="I310" s="23"/>
      <c r="J310" s="28"/>
    </row>
    <row r="311" spans="2:10" x14ac:dyDescent="0.25">
      <c r="B311" s="23">
        <v>29</v>
      </c>
      <c r="C311" s="23" t="s">
        <v>37</v>
      </c>
      <c r="D311" s="23" t="s">
        <v>32</v>
      </c>
      <c r="E311" s="27">
        <v>669.12438374999988</v>
      </c>
      <c r="G311" s="23"/>
      <c r="H311" s="23"/>
      <c r="I311" s="23"/>
      <c r="J311" s="27"/>
    </row>
    <row r="312" spans="2:10" x14ac:dyDescent="0.25">
      <c r="B312" s="23">
        <v>30</v>
      </c>
      <c r="C312" s="23" t="s">
        <v>37</v>
      </c>
      <c r="D312" s="23" t="s">
        <v>32</v>
      </c>
      <c r="E312" s="28">
        <v>635.91663314201674</v>
      </c>
      <c r="G312" s="23"/>
      <c r="H312" s="23"/>
      <c r="I312" s="23"/>
      <c r="J312" s="28"/>
    </row>
    <row r="313" spans="2:10" x14ac:dyDescent="0.25">
      <c r="B313" s="23">
        <v>31</v>
      </c>
      <c r="C313" s="23" t="s">
        <v>37</v>
      </c>
      <c r="D313" s="23" t="s">
        <v>32</v>
      </c>
      <c r="E313" s="27">
        <v>616.5677162500001</v>
      </c>
      <c r="G313" s="23"/>
      <c r="H313" s="23"/>
      <c r="I313" s="23"/>
      <c r="J313" s="27"/>
    </row>
    <row r="314" spans="2:10" x14ac:dyDescent="0.25">
      <c r="B314" s="23">
        <v>32</v>
      </c>
      <c r="C314" s="23" t="s">
        <v>37</v>
      </c>
      <c r="D314" s="23" t="s">
        <v>32</v>
      </c>
      <c r="E314" s="28">
        <v>632.09882999999991</v>
      </c>
      <c r="G314" s="23"/>
      <c r="H314" s="23"/>
      <c r="I314" s="23"/>
      <c r="J314" s="28"/>
    </row>
    <row r="315" spans="2:10" x14ac:dyDescent="0.25">
      <c r="B315" s="23">
        <v>33</v>
      </c>
      <c r="C315" s="23" t="s">
        <v>37</v>
      </c>
      <c r="D315" s="23" t="s">
        <v>32</v>
      </c>
      <c r="E315" s="27">
        <v>651.20284815527691</v>
      </c>
      <c r="G315" s="23"/>
      <c r="H315" s="23"/>
      <c r="I315" s="23"/>
      <c r="J315" s="27"/>
    </row>
    <row r="316" spans="2:10" x14ac:dyDescent="0.25">
      <c r="B316" s="23">
        <v>34</v>
      </c>
      <c r="C316" s="23" t="s">
        <v>37</v>
      </c>
      <c r="D316" s="23" t="s">
        <v>32</v>
      </c>
      <c r="E316" s="28">
        <v>697</v>
      </c>
      <c r="G316" s="23"/>
      <c r="H316" s="23"/>
      <c r="I316" s="23"/>
      <c r="J316" s="28"/>
    </row>
    <row r="317" spans="2:10" x14ac:dyDescent="0.25">
      <c r="B317" s="23">
        <v>35</v>
      </c>
      <c r="C317" s="23" t="s">
        <v>37</v>
      </c>
      <c r="D317" s="23" t="s">
        <v>32</v>
      </c>
      <c r="E317" s="27">
        <v>581</v>
      </c>
      <c r="G317" s="23"/>
      <c r="H317" s="23"/>
      <c r="I317" s="23"/>
      <c r="J317" s="27"/>
    </row>
    <row r="318" spans="2:10" x14ac:dyDescent="0.25">
      <c r="B318" s="23">
        <v>36</v>
      </c>
      <c r="C318" s="23" t="s">
        <v>37</v>
      </c>
      <c r="D318" s="23" t="s">
        <v>32</v>
      </c>
      <c r="E318" s="28">
        <v>538</v>
      </c>
      <c r="G318" s="23"/>
      <c r="H318" s="23"/>
      <c r="I318" s="23"/>
      <c r="J318" s="28"/>
    </row>
    <row r="319" spans="2:10" x14ac:dyDescent="0.25">
      <c r="B319" s="23">
        <v>37</v>
      </c>
      <c r="C319" s="23" t="s">
        <v>37</v>
      </c>
      <c r="D319" s="23" t="s">
        <v>32</v>
      </c>
      <c r="E319" s="27">
        <v>601</v>
      </c>
      <c r="G319" s="23"/>
      <c r="H319" s="23"/>
      <c r="I319" s="23"/>
      <c r="J319" s="27"/>
    </row>
    <row r="320" spans="2:10" x14ac:dyDescent="0.25">
      <c r="B320" s="23">
        <v>38</v>
      </c>
      <c r="C320" s="23" t="s">
        <v>37</v>
      </c>
      <c r="D320" s="23" t="s">
        <v>32</v>
      </c>
      <c r="E320" s="29">
        <v>731</v>
      </c>
      <c r="G320" s="23"/>
      <c r="H320" s="23"/>
      <c r="I320" s="23"/>
      <c r="J320" s="29"/>
    </row>
    <row r="321" spans="2:10" x14ac:dyDescent="0.25">
      <c r="B321" s="23">
        <v>39</v>
      </c>
      <c r="C321" s="23" t="s">
        <v>37</v>
      </c>
      <c r="D321" s="23" t="s">
        <v>32</v>
      </c>
      <c r="E321" s="30">
        <v>479.23147999999998</v>
      </c>
      <c r="G321" s="23"/>
      <c r="H321" s="23"/>
      <c r="I321" s="23"/>
      <c r="J321" s="30"/>
    </row>
    <row r="322" spans="2:10" x14ac:dyDescent="0.25">
      <c r="B322" s="23">
        <v>40</v>
      </c>
      <c r="C322" s="23" t="s">
        <v>37</v>
      </c>
      <c r="D322" s="23" t="s">
        <v>32</v>
      </c>
      <c r="E322" s="32">
        <v>457.61858999999998</v>
      </c>
      <c r="G322" s="23"/>
      <c r="H322" s="23"/>
      <c r="I322" s="23"/>
      <c r="J322" s="32"/>
    </row>
    <row r="323" spans="2:10" x14ac:dyDescent="0.25">
      <c r="B323" s="23">
        <v>1</v>
      </c>
      <c r="C323" s="23" t="s">
        <v>38</v>
      </c>
      <c r="D323" s="23" t="s">
        <v>32</v>
      </c>
      <c r="E323" s="27">
        <v>2012</v>
      </c>
      <c r="G323" s="23"/>
      <c r="H323" s="23"/>
      <c r="I323" s="23"/>
      <c r="J323" s="27"/>
    </row>
    <row r="324" spans="2:10" x14ac:dyDescent="0.25">
      <c r="B324" s="23">
        <v>2</v>
      </c>
      <c r="C324" s="23" t="s">
        <v>38</v>
      </c>
      <c r="D324" s="23" t="s">
        <v>32</v>
      </c>
      <c r="E324" s="28">
        <v>1926</v>
      </c>
      <c r="G324" s="23"/>
      <c r="H324" s="23"/>
      <c r="I324" s="23"/>
      <c r="J324" s="28"/>
    </row>
    <row r="325" spans="2:10" x14ac:dyDescent="0.25">
      <c r="B325" s="23">
        <v>3</v>
      </c>
      <c r="C325" s="23" t="s">
        <v>38</v>
      </c>
      <c r="D325" s="23" t="s">
        <v>32</v>
      </c>
      <c r="E325" s="27">
        <v>2028</v>
      </c>
      <c r="G325" s="23"/>
      <c r="H325" s="23"/>
      <c r="I325" s="23"/>
      <c r="J325" s="27"/>
    </row>
    <row r="326" spans="2:10" x14ac:dyDescent="0.25">
      <c r="B326" s="23">
        <v>4</v>
      </c>
      <c r="C326" s="23" t="s">
        <v>38</v>
      </c>
      <c r="D326" s="23" t="s">
        <v>32</v>
      </c>
      <c r="E326" s="28">
        <v>1864</v>
      </c>
      <c r="G326" s="23"/>
      <c r="H326" s="23"/>
      <c r="I326" s="23"/>
      <c r="J326" s="28"/>
    </row>
    <row r="327" spans="2:10" x14ac:dyDescent="0.25">
      <c r="B327" s="23">
        <v>5</v>
      </c>
      <c r="C327" s="23" t="s">
        <v>38</v>
      </c>
      <c r="D327" s="23" t="s">
        <v>32</v>
      </c>
      <c r="E327" s="27">
        <v>1605</v>
      </c>
      <c r="G327" s="23"/>
      <c r="H327" s="23"/>
      <c r="I327" s="23"/>
      <c r="J327" s="27"/>
    </row>
    <row r="328" spans="2:10" x14ac:dyDescent="0.25">
      <c r="B328" s="23">
        <v>6</v>
      </c>
      <c r="C328" s="23" t="s">
        <v>38</v>
      </c>
      <c r="D328" s="23" t="s">
        <v>32</v>
      </c>
      <c r="E328" s="28">
        <v>1478</v>
      </c>
      <c r="G328" s="23"/>
      <c r="H328" s="23"/>
      <c r="I328" s="23"/>
      <c r="J328" s="28"/>
    </row>
    <row r="329" spans="2:10" x14ac:dyDescent="0.25">
      <c r="B329" s="23">
        <v>7</v>
      </c>
      <c r="C329" s="23" t="s">
        <v>38</v>
      </c>
      <c r="D329" s="23" t="s">
        <v>32</v>
      </c>
      <c r="E329" s="27">
        <v>1837</v>
      </c>
      <c r="G329" s="23"/>
      <c r="H329" s="23"/>
      <c r="I329" s="23"/>
      <c r="J329" s="27"/>
    </row>
    <row r="330" spans="2:10" x14ac:dyDescent="0.25">
      <c r="B330" s="23">
        <v>8</v>
      </c>
      <c r="C330" s="23" t="s">
        <v>38</v>
      </c>
      <c r="D330" s="23" t="s">
        <v>32</v>
      </c>
      <c r="E330" s="28">
        <v>1569</v>
      </c>
      <c r="G330" s="23"/>
      <c r="H330" s="23"/>
      <c r="I330" s="23"/>
      <c r="J330" s="28"/>
    </row>
    <row r="331" spans="2:10" x14ac:dyDescent="0.25">
      <c r="B331" s="23">
        <v>9</v>
      </c>
      <c r="C331" s="23" t="s">
        <v>38</v>
      </c>
      <c r="D331" s="23" t="s">
        <v>32</v>
      </c>
      <c r="E331" s="27">
        <v>1718</v>
      </c>
      <c r="G331" s="23"/>
      <c r="H331" s="23"/>
      <c r="I331" s="23"/>
      <c r="J331" s="27"/>
    </row>
    <row r="332" spans="2:10" x14ac:dyDescent="0.25">
      <c r="B332" s="23">
        <v>10</v>
      </c>
      <c r="C332" s="23" t="s">
        <v>38</v>
      </c>
      <c r="D332" s="23" t="s">
        <v>32</v>
      </c>
      <c r="E332" s="28">
        <v>1618</v>
      </c>
      <c r="G332" s="23"/>
      <c r="H332" s="23"/>
      <c r="I332" s="23"/>
      <c r="J332" s="28"/>
    </row>
    <row r="333" spans="2:10" x14ac:dyDescent="0.25">
      <c r="B333" s="23">
        <v>11</v>
      </c>
      <c r="C333" s="23" t="s">
        <v>38</v>
      </c>
      <c r="D333" s="23" t="s">
        <v>32</v>
      </c>
      <c r="E333" s="27">
        <v>1406</v>
      </c>
      <c r="G333" s="23"/>
      <c r="H333" s="23"/>
      <c r="I333" s="23"/>
      <c r="J333" s="27"/>
    </row>
    <row r="334" spans="2:10" x14ac:dyDescent="0.25">
      <c r="B334" s="23">
        <v>12</v>
      </c>
      <c r="C334" s="23" t="s">
        <v>38</v>
      </c>
      <c r="D334" s="23" t="s">
        <v>32</v>
      </c>
      <c r="E334" s="28">
        <v>1236</v>
      </c>
      <c r="G334" s="23"/>
      <c r="H334" s="23"/>
      <c r="I334" s="23"/>
      <c r="J334" s="28"/>
    </row>
    <row r="335" spans="2:10" x14ac:dyDescent="0.25">
      <c r="B335" s="23">
        <v>13</v>
      </c>
      <c r="C335" s="23" t="s">
        <v>38</v>
      </c>
      <c r="D335" s="23" t="s">
        <v>32</v>
      </c>
      <c r="E335" s="27">
        <v>1218</v>
      </c>
      <c r="G335" s="23"/>
      <c r="H335" s="23"/>
      <c r="I335" s="23"/>
      <c r="J335" s="27"/>
    </row>
    <row r="336" spans="2:10" x14ac:dyDescent="0.25">
      <c r="B336" s="23">
        <v>14</v>
      </c>
      <c r="C336" s="23" t="s">
        <v>38</v>
      </c>
      <c r="D336" s="23" t="s">
        <v>32</v>
      </c>
      <c r="E336" s="28">
        <v>1310</v>
      </c>
      <c r="G336" s="23"/>
      <c r="H336" s="23"/>
      <c r="I336" s="23"/>
      <c r="J336" s="28"/>
    </row>
    <row r="337" spans="2:10" x14ac:dyDescent="0.25">
      <c r="B337" s="23">
        <v>15</v>
      </c>
      <c r="C337" s="23" t="s">
        <v>38</v>
      </c>
      <c r="D337" s="23" t="s">
        <v>32</v>
      </c>
      <c r="E337" s="27">
        <v>1367</v>
      </c>
      <c r="G337" s="23"/>
      <c r="H337" s="23"/>
      <c r="I337" s="23"/>
      <c r="J337" s="27"/>
    </row>
    <row r="338" spans="2:10" x14ac:dyDescent="0.25">
      <c r="B338" s="23">
        <v>16</v>
      </c>
      <c r="C338" s="23" t="s">
        <v>38</v>
      </c>
      <c r="D338" s="23" t="s">
        <v>32</v>
      </c>
      <c r="E338" s="28">
        <v>1104</v>
      </c>
      <c r="G338" s="23"/>
      <c r="H338" s="23"/>
      <c r="I338" s="23"/>
      <c r="J338" s="28"/>
    </row>
    <row r="339" spans="2:10" x14ac:dyDescent="0.25">
      <c r="B339" s="23">
        <v>17</v>
      </c>
      <c r="C339" s="23" t="s">
        <v>38</v>
      </c>
      <c r="D339" s="23" t="s">
        <v>32</v>
      </c>
      <c r="E339" s="27">
        <v>1307</v>
      </c>
      <c r="G339" s="23"/>
      <c r="H339" s="23"/>
      <c r="I339" s="23"/>
      <c r="J339" s="27"/>
    </row>
    <row r="340" spans="2:10" x14ac:dyDescent="0.25">
      <c r="B340" s="23">
        <v>18</v>
      </c>
      <c r="C340" s="23" t="s">
        <v>38</v>
      </c>
      <c r="D340" s="23" t="s">
        <v>32</v>
      </c>
      <c r="E340" s="28">
        <v>1121</v>
      </c>
      <c r="G340" s="23"/>
      <c r="H340" s="23"/>
      <c r="I340" s="23"/>
      <c r="J340" s="28"/>
    </row>
    <row r="341" spans="2:10" x14ac:dyDescent="0.25">
      <c r="B341" s="23">
        <v>19</v>
      </c>
      <c r="C341" s="23" t="s">
        <v>38</v>
      </c>
      <c r="D341" s="23" t="s">
        <v>32</v>
      </c>
      <c r="E341" s="27">
        <v>1056</v>
      </c>
      <c r="G341" s="23"/>
      <c r="H341" s="23"/>
      <c r="I341" s="23"/>
      <c r="J341" s="27"/>
    </row>
    <row r="342" spans="2:10" x14ac:dyDescent="0.25">
      <c r="B342" s="23">
        <v>20</v>
      </c>
      <c r="C342" s="23" t="s">
        <v>38</v>
      </c>
      <c r="D342" s="23" t="s">
        <v>32</v>
      </c>
      <c r="E342" s="28">
        <v>1271</v>
      </c>
      <c r="G342" s="23"/>
      <c r="H342" s="23"/>
      <c r="I342" s="23"/>
      <c r="J342" s="28"/>
    </row>
    <row r="343" spans="2:10" x14ac:dyDescent="0.25">
      <c r="B343" s="23">
        <v>21</v>
      </c>
      <c r="C343" s="23" t="s">
        <v>38</v>
      </c>
      <c r="D343" s="23" t="s">
        <v>32</v>
      </c>
      <c r="E343" s="27">
        <v>1189</v>
      </c>
      <c r="G343" s="23"/>
      <c r="H343" s="23"/>
      <c r="I343" s="23"/>
      <c r="J343" s="27"/>
    </row>
    <row r="344" spans="2:10" x14ac:dyDescent="0.25">
      <c r="B344" s="23">
        <v>22</v>
      </c>
      <c r="C344" s="23" t="s">
        <v>38</v>
      </c>
      <c r="D344" s="23" t="s">
        <v>32</v>
      </c>
      <c r="E344" s="28">
        <v>1204</v>
      </c>
      <c r="G344" s="23"/>
      <c r="H344" s="23"/>
      <c r="I344" s="23"/>
      <c r="J344" s="28"/>
    </row>
    <row r="345" spans="2:10" x14ac:dyDescent="0.25">
      <c r="B345" s="23">
        <v>23</v>
      </c>
      <c r="C345" s="23" t="s">
        <v>38</v>
      </c>
      <c r="D345" s="23" t="s">
        <v>32</v>
      </c>
      <c r="E345" s="27">
        <v>1543</v>
      </c>
      <c r="G345" s="23"/>
      <c r="H345" s="23"/>
      <c r="I345" s="23"/>
      <c r="J345" s="27"/>
    </row>
    <row r="346" spans="2:10" x14ac:dyDescent="0.25">
      <c r="B346" s="23">
        <v>24</v>
      </c>
      <c r="C346" s="23" t="s">
        <v>38</v>
      </c>
      <c r="D346" s="23" t="s">
        <v>32</v>
      </c>
      <c r="E346" s="28">
        <v>1605</v>
      </c>
      <c r="G346" s="23"/>
      <c r="H346" s="23"/>
      <c r="I346" s="23"/>
      <c r="J346" s="28"/>
    </row>
    <row r="347" spans="2:10" x14ac:dyDescent="0.25">
      <c r="B347" s="23">
        <v>25</v>
      </c>
      <c r="C347" s="23" t="s">
        <v>38</v>
      </c>
      <c r="D347" s="23" t="s">
        <v>32</v>
      </c>
      <c r="E347" s="27">
        <v>1635</v>
      </c>
      <c r="G347" s="23"/>
      <c r="H347" s="23"/>
      <c r="I347" s="23"/>
      <c r="J347" s="27"/>
    </row>
    <row r="348" spans="2:10" x14ac:dyDescent="0.25">
      <c r="B348" s="23">
        <v>26</v>
      </c>
      <c r="C348" s="23" t="s">
        <v>38</v>
      </c>
      <c r="D348" s="23" t="s">
        <v>32</v>
      </c>
      <c r="E348" s="28">
        <v>1391</v>
      </c>
      <c r="G348" s="23"/>
      <c r="H348" s="23"/>
      <c r="I348" s="23"/>
      <c r="J348" s="28"/>
    </row>
    <row r="349" spans="2:10" x14ac:dyDescent="0.25">
      <c r="B349" s="23">
        <v>27</v>
      </c>
      <c r="C349" s="23" t="s">
        <v>38</v>
      </c>
      <c r="D349" s="23" t="s">
        <v>32</v>
      </c>
      <c r="E349" s="27">
        <v>1402</v>
      </c>
      <c r="G349" s="23"/>
      <c r="H349" s="23"/>
      <c r="I349" s="23"/>
      <c r="J349" s="27"/>
    </row>
    <row r="350" spans="2:10" x14ac:dyDescent="0.25">
      <c r="B350" s="23">
        <v>28</v>
      </c>
      <c r="C350" s="23" t="s">
        <v>38</v>
      </c>
      <c r="D350" s="23" t="s">
        <v>32</v>
      </c>
      <c r="E350" s="28">
        <v>1586</v>
      </c>
      <c r="G350" s="23"/>
      <c r="H350" s="23"/>
      <c r="I350" s="23"/>
      <c r="J350" s="28"/>
    </row>
    <row r="351" spans="2:10" x14ac:dyDescent="0.25">
      <c r="B351" s="23">
        <v>29</v>
      </c>
      <c r="C351" s="23" t="s">
        <v>38</v>
      </c>
      <c r="D351" s="23" t="s">
        <v>32</v>
      </c>
      <c r="E351" s="27">
        <v>1349</v>
      </c>
      <c r="G351" s="23"/>
      <c r="H351" s="23"/>
      <c r="I351" s="23"/>
      <c r="J351" s="27"/>
    </row>
    <row r="352" spans="2:10" x14ac:dyDescent="0.25">
      <c r="B352" s="23">
        <v>30</v>
      </c>
      <c r="C352" s="23" t="s">
        <v>38</v>
      </c>
      <c r="D352" s="23" t="s">
        <v>32</v>
      </c>
      <c r="E352" s="28">
        <v>1262</v>
      </c>
      <c r="G352" s="23"/>
      <c r="H352" s="23"/>
      <c r="I352" s="23"/>
      <c r="J352" s="28"/>
    </row>
    <row r="353" spans="2:10" x14ac:dyDescent="0.25">
      <c r="B353" s="23">
        <v>31</v>
      </c>
      <c r="C353" s="23" t="s">
        <v>38</v>
      </c>
      <c r="D353" s="23" t="s">
        <v>32</v>
      </c>
      <c r="E353" s="27">
        <v>1404</v>
      </c>
      <c r="G353" s="23"/>
      <c r="H353" s="23"/>
      <c r="I353" s="23"/>
      <c r="J353" s="27"/>
    </row>
    <row r="354" spans="2:10" x14ac:dyDescent="0.25">
      <c r="B354" s="23">
        <v>32</v>
      </c>
      <c r="C354" s="23" t="s">
        <v>38</v>
      </c>
      <c r="D354" s="23" t="s">
        <v>32</v>
      </c>
      <c r="E354" s="28">
        <v>1623</v>
      </c>
      <c r="G354" s="23"/>
      <c r="H354" s="23"/>
      <c r="I354" s="23"/>
      <c r="J354" s="28"/>
    </row>
    <row r="355" spans="2:10" x14ac:dyDescent="0.25">
      <c r="B355" s="23">
        <v>33</v>
      </c>
      <c r="C355" s="23" t="s">
        <v>38</v>
      </c>
      <c r="D355" s="23" t="s">
        <v>32</v>
      </c>
      <c r="E355" s="27">
        <v>1299.7714868447229</v>
      </c>
      <c r="G355" s="23"/>
      <c r="H355" s="23"/>
      <c r="I355" s="23"/>
      <c r="J355" s="27"/>
    </row>
    <row r="356" spans="2:10" x14ac:dyDescent="0.25">
      <c r="B356" s="23">
        <v>34</v>
      </c>
      <c r="C356" s="23" t="s">
        <v>38</v>
      </c>
      <c r="D356" s="23" t="s">
        <v>32</v>
      </c>
      <c r="E356" s="28">
        <v>1728.6304791111115</v>
      </c>
      <c r="G356" s="23"/>
      <c r="H356" s="23"/>
      <c r="I356" s="23"/>
      <c r="J356" s="28"/>
    </row>
    <row r="357" spans="2:10" x14ac:dyDescent="0.25">
      <c r="B357" s="23">
        <v>35</v>
      </c>
      <c r="C357" s="23" t="s">
        <v>38</v>
      </c>
      <c r="D357" s="23" t="s">
        <v>32</v>
      </c>
      <c r="E357" s="27">
        <v>1617</v>
      </c>
      <c r="G357" s="23"/>
      <c r="H357" s="23"/>
      <c r="I357" s="23"/>
      <c r="J357" s="27"/>
    </row>
    <row r="358" spans="2:10" x14ac:dyDescent="0.25">
      <c r="B358" s="23">
        <v>36</v>
      </c>
      <c r="C358" s="23" t="s">
        <v>38</v>
      </c>
      <c r="D358" s="23" t="s">
        <v>32</v>
      </c>
      <c r="E358" s="33">
        <v>1616.6000000000004</v>
      </c>
      <c r="G358" s="23"/>
      <c r="H358" s="23"/>
      <c r="I358" s="23"/>
      <c r="J358" s="33"/>
    </row>
    <row r="359" spans="2:10" x14ac:dyDescent="0.25">
      <c r="B359" s="23">
        <v>37</v>
      </c>
      <c r="C359" s="23" t="s">
        <v>38</v>
      </c>
      <c r="D359" s="23" t="s">
        <v>32</v>
      </c>
      <c r="E359" s="27">
        <v>1381.6999999999998</v>
      </c>
      <c r="G359" s="23"/>
      <c r="H359" s="23"/>
      <c r="I359" s="23"/>
      <c r="J359" s="27"/>
    </row>
    <row r="360" spans="2:10" x14ac:dyDescent="0.25">
      <c r="B360" s="23">
        <v>38</v>
      </c>
      <c r="C360" s="23" t="s">
        <v>38</v>
      </c>
      <c r="D360" s="23" t="s">
        <v>32</v>
      </c>
      <c r="E360" s="38">
        <v>1034.8999999999996</v>
      </c>
      <c r="G360" s="23"/>
      <c r="H360" s="23"/>
      <c r="I360" s="23"/>
      <c r="J360" s="38"/>
    </row>
    <row r="361" spans="2:10" x14ac:dyDescent="0.25">
      <c r="B361" s="23">
        <v>39</v>
      </c>
      <c r="C361" s="23" t="s">
        <v>38</v>
      </c>
      <c r="D361" s="23" t="s">
        <v>32</v>
      </c>
      <c r="E361" s="39">
        <v>827.28762125000003</v>
      </c>
      <c r="G361" s="23"/>
      <c r="H361" s="23"/>
      <c r="I361" s="23"/>
      <c r="J361" s="39"/>
    </row>
    <row r="362" spans="2:10" x14ac:dyDescent="0.25">
      <c r="B362" s="23">
        <v>40</v>
      </c>
      <c r="C362" s="23" t="s">
        <v>38</v>
      </c>
      <c r="D362" s="23" t="s">
        <v>32</v>
      </c>
      <c r="E362" s="40">
        <v>1078.9863499999997</v>
      </c>
      <c r="G362" s="23"/>
      <c r="H362" s="23"/>
      <c r="I362" s="23"/>
      <c r="J362" s="40"/>
    </row>
    <row r="363" spans="2:10" x14ac:dyDescent="0.25">
      <c r="B363" s="23">
        <v>1</v>
      </c>
      <c r="C363" s="23" t="s">
        <v>38</v>
      </c>
      <c r="D363" s="23" t="s">
        <v>33</v>
      </c>
      <c r="E363" s="34">
        <v>1727.8532009999999</v>
      </c>
      <c r="G363" s="23"/>
      <c r="H363" s="23"/>
      <c r="I363" s="23"/>
      <c r="J363" s="34"/>
    </row>
    <row r="364" spans="2:10" x14ac:dyDescent="0.25">
      <c r="B364" s="23">
        <v>2</v>
      </c>
      <c r="C364" s="23" t="s">
        <v>38</v>
      </c>
      <c r="D364" s="23" t="s">
        <v>33</v>
      </c>
      <c r="E364" s="33">
        <v>1633.1075435000002</v>
      </c>
      <c r="G364" s="23"/>
      <c r="H364" s="23"/>
      <c r="I364" s="23"/>
      <c r="J364" s="33"/>
    </row>
    <row r="365" spans="2:10" x14ac:dyDescent="0.25">
      <c r="B365" s="23">
        <v>3</v>
      </c>
      <c r="C365" s="23" t="s">
        <v>38</v>
      </c>
      <c r="D365" s="23" t="s">
        <v>33</v>
      </c>
      <c r="E365" s="34">
        <v>1766.8867869999995</v>
      </c>
      <c r="G365" s="23"/>
      <c r="H365" s="23"/>
      <c r="I365" s="23"/>
      <c r="J365" s="34"/>
    </row>
    <row r="366" spans="2:10" x14ac:dyDescent="0.25">
      <c r="B366" s="23">
        <v>4</v>
      </c>
      <c r="C366" s="23" t="s">
        <v>38</v>
      </c>
      <c r="D366" s="23" t="s">
        <v>33</v>
      </c>
      <c r="E366" s="33">
        <v>1881.5636650000006</v>
      </c>
      <c r="G366" s="23"/>
      <c r="H366" s="23"/>
      <c r="I366" s="23"/>
      <c r="J366" s="33"/>
    </row>
    <row r="367" spans="2:10" x14ac:dyDescent="0.25">
      <c r="B367" s="23">
        <v>5</v>
      </c>
      <c r="C367" s="23" t="s">
        <v>38</v>
      </c>
      <c r="D367" s="23" t="s">
        <v>33</v>
      </c>
      <c r="E367" s="34">
        <v>1553.39725</v>
      </c>
      <c r="G367" s="23"/>
      <c r="H367" s="23"/>
      <c r="I367" s="23"/>
      <c r="J367" s="34"/>
    </row>
    <row r="368" spans="2:10" x14ac:dyDescent="0.25">
      <c r="B368" s="23">
        <v>6</v>
      </c>
      <c r="C368" s="23" t="s">
        <v>38</v>
      </c>
      <c r="D368" s="23" t="s">
        <v>33</v>
      </c>
      <c r="E368" s="33">
        <v>1553.2977649999998</v>
      </c>
      <c r="G368" s="23"/>
      <c r="H368" s="23"/>
      <c r="I368" s="23"/>
      <c r="J368" s="33"/>
    </row>
    <row r="369" spans="2:10" x14ac:dyDescent="0.25">
      <c r="B369" s="23">
        <v>7</v>
      </c>
      <c r="C369" s="23" t="s">
        <v>38</v>
      </c>
      <c r="D369" s="23" t="s">
        <v>33</v>
      </c>
      <c r="E369" s="34">
        <v>1993.13832</v>
      </c>
      <c r="G369" s="23"/>
      <c r="H369" s="23"/>
      <c r="I369" s="23"/>
      <c r="J369" s="34"/>
    </row>
    <row r="370" spans="2:10" x14ac:dyDescent="0.25">
      <c r="B370" s="23">
        <v>8</v>
      </c>
      <c r="C370" s="23" t="s">
        <v>38</v>
      </c>
      <c r="D370" s="23" t="s">
        <v>33</v>
      </c>
      <c r="E370" s="33">
        <v>1866.2490530000002</v>
      </c>
      <c r="G370" s="23"/>
      <c r="H370" s="23"/>
      <c r="I370" s="23"/>
      <c r="J370" s="33"/>
    </row>
    <row r="371" spans="2:10" x14ac:dyDescent="0.25">
      <c r="B371" s="23">
        <v>9</v>
      </c>
      <c r="C371" s="23" t="s">
        <v>38</v>
      </c>
      <c r="D371" s="23" t="s">
        <v>33</v>
      </c>
      <c r="E371" s="34">
        <v>2148.8686950000001</v>
      </c>
      <c r="G371" s="23"/>
      <c r="H371" s="23"/>
      <c r="I371" s="23"/>
      <c r="J371" s="34"/>
    </row>
    <row r="372" spans="2:10" x14ac:dyDescent="0.25">
      <c r="B372" s="23">
        <v>10</v>
      </c>
      <c r="C372" s="23" t="s">
        <v>38</v>
      </c>
      <c r="D372" s="23" t="s">
        <v>33</v>
      </c>
      <c r="E372" s="33">
        <v>2045.6442900000006</v>
      </c>
      <c r="G372" s="23"/>
      <c r="H372" s="23"/>
      <c r="I372" s="23"/>
      <c r="J372" s="33"/>
    </row>
    <row r="373" spans="2:10" x14ac:dyDescent="0.25">
      <c r="B373" s="23">
        <v>11</v>
      </c>
      <c r="C373" s="23" t="s">
        <v>38</v>
      </c>
      <c r="D373" s="23" t="s">
        <v>33</v>
      </c>
      <c r="E373" s="34">
        <v>1869.9370699999999</v>
      </c>
      <c r="G373" s="23"/>
      <c r="H373" s="23"/>
      <c r="I373" s="23"/>
      <c r="J373" s="34"/>
    </row>
    <row r="374" spans="2:10" x14ac:dyDescent="0.25">
      <c r="B374" s="23">
        <v>12</v>
      </c>
      <c r="C374" s="23" t="s">
        <v>38</v>
      </c>
      <c r="D374" s="23" t="s">
        <v>33</v>
      </c>
      <c r="E374" s="33">
        <v>1563.5132900000001</v>
      </c>
      <c r="G374" s="23"/>
      <c r="H374" s="23"/>
      <c r="I374" s="23"/>
      <c r="J374" s="33"/>
    </row>
    <row r="375" spans="2:10" x14ac:dyDescent="0.25">
      <c r="B375" s="23">
        <v>13</v>
      </c>
      <c r="C375" s="23" t="s">
        <v>38</v>
      </c>
      <c r="D375" s="23" t="s">
        <v>33</v>
      </c>
      <c r="E375" s="34">
        <v>1563.8841850000003</v>
      </c>
      <c r="G375" s="23"/>
      <c r="H375" s="23"/>
      <c r="I375" s="23"/>
      <c r="J375" s="34"/>
    </row>
    <row r="376" spans="2:10" x14ac:dyDescent="0.25">
      <c r="B376" s="23">
        <v>14</v>
      </c>
      <c r="C376" s="23" t="s">
        <v>38</v>
      </c>
      <c r="D376" s="23" t="s">
        <v>33</v>
      </c>
      <c r="E376" s="33">
        <v>1739.0577680000001</v>
      </c>
      <c r="G376" s="23"/>
      <c r="H376" s="23"/>
      <c r="I376" s="23"/>
      <c r="J376" s="33"/>
    </row>
    <row r="377" spans="2:10" x14ac:dyDescent="0.25">
      <c r="B377" s="23">
        <v>15</v>
      </c>
      <c r="C377" s="23" t="s">
        <v>38</v>
      </c>
      <c r="D377" s="23" t="s">
        <v>33</v>
      </c>
      <c r="E377" s="34">
        <v>1789.7834959999996</v>
      </c>
      <c r="G377" s="23"/>
      <c r="H377" s="23"/>
      <c r="I377" s="23"/>
      <c r="J377" s="34"/>
    </row>
    <row r="378" spans="2:10" x14ac:dyDescent="0.25">
      <c r="B378" s="23">
        <v>16</v>
      </c>
      <c r="C378" s="23" t="s">
        <v>38</v>
      </c>
      <c r="D378" s="23" t="s">
        <v>33</v>
      </c>
      <c r="E378" s="33">
        <v>1657.9943850000004</v>
      </c>
      <c r="G378" s="23"/>
      <c r="H378" s="23"/>
      <c r="I378" s="23"/>
      <c r="J378" s="33"/>
    </row>
    <row r="379" spans="2:10" x14ac:dyDescent="0.25">
      <c r="B379" s="23">
        <v>17</v>
      </c>
      <c r="C379" s="23" t="s">
        <v>38</v>
      </c>
      <c r="D379" s="23" t="s">
        <v>33</v>
      </c>
      <c r="E379" s="34">
        <v>1825.987265</v>
      </c>
      <c r="G379" s="23"/>
      <c r="H379" s="23"/>
      <c r="I379" s="23"/>
      <c r="J379" s="34"/>
    </row>
    <row r="380" spans="2:10" x14ac:dyDescent="0.25">
      <c r="B380" s="23">
        <v>18</v>
      </c>
      <c r="C380" s="23" t="s">
        <v>38</v>
      </c>
      <c r="D380" s="23" t="s">
        <v>33</v>
      </c>
      <c r="E380" s="33">
        <v>1622.6175779999996</v>
      </c>
      <c r="G380" s="23"/>
      <c r="H380" s="23"/>
      <c r="I380" s="23"/>
      <c r="J380" s="33"/>
    </row>
    <row r="381" spans="2:10" x14ac:dyDescent="0.25">
      <c r="B381" s="23">
        <v>19</v>
      </c>
      <c r="C381" s="23" t="s">
        <v>38</v>
      </c>
      <c r="D381" s="23" t="s">
        <v>33</v>
      </c>
      <c r="E381" s="34">
        <v>1536.9598599999999</v>
      </c>
      <c r="G381" s="23"/>
      <c r="H381" s="23"/>
      <c r="I381" s="23"/>
      <c r="J381" s="34"/>
    </row>
    <row r="382" spans="2:10" x14ac:dyDescent="0.25">
      <c r="B382" s="23">
        <v>20</v>
      </c>
      <c r="C382" s="23" t="s">
        <v>38</v>
      </c>
      <c r="D382" s="23" t="s">
        <v>33</v>
      </c>
      <c r="E382" s="33">
        <v>1712.4842964999998</v>
      </c>
      <c r="G382" s="23"/>
      <c r="H382" s="23"/>
      <c r="I382" s="23"/>
      <c r="J382" s="33"/>
    </row>
    <row r="383" spans="2:10" x14ac:dyDescent="0.25">
      <c r="B383" s="23">
        <v>21</v>
      </c>
      <c r="C383" s="23" t="s">
        <v>38</v>
      </c>
      <c r="D383" s="23" t="s">
        <v>33</v>
      </c>
      <c r="E383" s="34">
        <v>1788.6469875000003</v>
      </c>
      <c r="G383" s="23"/>
      <c r="H383" s="23"/>
      <c r="I383" s="23"/>
      <c r="J383" s="34"/>
    </row>
    <row r="384" spans="2:10" x14ac:dyDescent="0.25">
      <c r="B384" s="23">
        <v>22</v>
      </c>
      <c r="C384" s="23" t="s">
        <v>38</v>
      </c>
      <c r="D384" s="23" t="s">
        <v>33</v>
      </c>
      <c r="E384" s="33">
        <v>1807.8035599999998</v>
      </c>
      <c r="G384" s="23"/>
      <c r="H384" s="23"/>
      <c r="I384" s="23"/>
      <c r="J384" s="33"/>
    </row>
    <row r="385" spans="2:10" x14ac:dyDescent="0.25">
      <c r="B385" s="23">
        <v>23</v>
      </c>
      <c r="C385" s="23" t="s">
        <v>38</v>
      </c>
      <c r="D385" s="23" t="s">
        <v>33</v>
      </c>
      <c r="E385" s="34">
        <v>2090.5119979999999</v>
      </c>
      <c r="G385" s="23"/>
      <c r="H385" s="23"/>
      <c r="I385" s="23"/>
      <c r="J385" s="34"/>
    </row>
    <row r="386" spans="2:10" x14ac:dyDescent="0.25">
      <c r="B386" s="23">
        <v>24</v>
      </c>
      <c r="C386" s="23" t="s">
        <v>38</v>
      </c>
      <c r="D386" s="23" t="s">
        <v>33</v>
      </c>
      <c r="E386" s="33">
        <v>2157.9307625000006</v>
      </c>
      <c r="G386" s="23"/>
      <c r="H386" s="23"/>
      <c r="I386" s="23"/>
      <c r="J386" s="33"/>
    </row>
    <row r="387" spans="2:10" x14ac:dyDescent="0.25">
      <c r="B387" s="23">
        <v>25</v>
      </c>
      <c r="C387" s="23" t="s">
        <v>38</v>
      </c>
      <c r="D387" s="23" t="s">
        <v>33</v>
      </c>
      <c r="E387" s="34">
        <v>2253.9739049999998</v>
      </c>
      <c r="G387" s="23"/>
      <c r="H387" s="23"/>
      <c r="I387" s="23"/>
      <c r="J387" s="34"/>
    </row>
    <row r="388" spans="2:10" x14ac:dyDescent="0.25">
      <c r="B388" s="23">
        <v>26</v>
      </c>
      <c r="C388" s="23" t="s">
        <v>38</v>
      </c>
      <c r="D388" s="23" t="s">
        <v>33</v>
      </c>
      <c r="E388" s="33">
        <v>1891.5369665149594</v>
      </c>
      <c r="G388" s="23"/>
      <c r="H388" s="23"/>
      <c r="I388" s="23"/>
      <c r="J388" s="33"/>
    </row>
    <row r="389" spans="2:10" x14ac:dyDescent="0.25">
      <c r="B389" s="23">
        <v>27</v>
      </c>
      <c r="C389" s="23" t="s">
        <v>38</v>
      </c>
      <c r="D389" s="23" t="s">
        <v>33</v>
      </c>
      <c r="E389" s="34">
        <v>1693.65254</v>
      </c>
      <c r="G389" s="23"/>
      <c r="H389" s="23"/>
      <c r="I389" s="23"/>
      <c r="J389" s="34"/>
    </row>
    <row r="390" spans="2:10" x14ac:dyDescent="0.25">
      <c r="B390" s="23">
        <v>28</v>
      </c>
      <c r="C390" s="23" t="s">
        <v>38</v>
      </c>
      <c r="D390" s="23" t="s">
        <v>33</v>
      </c>
      <c r="E390" s="33">
        <v>1963.4720125000001</v>
      </c>
      <c r="G390" s="23"/>
      <c r="H390" s="23"/>
      <c r="I390" s="23"/>
      <c r="J390" s="33"/>
    </row>
    <row r="391" spans="2:10" x14ac:dyDescent="0.25">
      <c r="B391" s="23">
        <v>29</v>
      </c>
      <c r="C391" s="23" t="s">
        <v>38</v>
      </c>
      <c r="D391" s="23" t="s">
        <v>33</v>
      </c>
      <c r="E391" s="34">
        <v>1656.6105837500002</v>
      </c>
      <c r="G391" s="23"/>
      <c r="H391" s="23"/>
      <c r="I391" s="23"/>
      <c r="J391" s="34"/>
    </row>
    <row r="392" spans="2:10" x14ac:dyDescent="0.25">
      <c r="B392" s="23">
        <v>30</v>
      </c>
      <c r="C392" s="23" t="s">
        <v>38</v>
      </c>
      <c r="D392" s="23" t="s">
        <v>33</v>
      </c>
      <c r="E392" s="33">
        <v>1757.1755090648935</v>
      </c>
      <c r="G392" s="23"/>
      <c r="H392" s="23"/>
      <c r="I392" s="23"/>
      <c r="J392" s="33"/>
    </row>
    <row r="393" spans="2:10" x14ac:dyDescent="0.25">
      <c r="B393" s="23">
        <v>31</v>
      </c>
      <c r="C393" s="23" t="s">
        <v>38</v>
      </c>
      <c r="D393" s="23" t="s">
        <v>33</v>
      </c>
      <c r="E393" s="34">
        <v>1709.9618479999999</v>
      </c>
      <c r="G393" s="23"/>
      <c r="H393" s="23"/>
      <c r="I393" s="23"/>
      <c r="J393" s="34"/>
    </row>
    <row r="394" spans="2:10" x14ac:dyDescent="0.25">
      <c r="B394" s="23">
        <v>32</v>
      </c>
      <c r="C394" s="23" t="s">
        <v>38</v>
      </c>
      <c r="D394" s="23" t="s">
        <v>33</v>
      </c>
      <c r="E394" s="33">
        <v>1447.3588450000007</v>
      </c>
      <c r="G394" s="23"/>
      <c r="H394" s="23"/>
      <c r="I394" s="23"/>
      <c r="J394" s="33"/>
    </row>
    <row r="395" spans="2:10" x14ac:dyDescent="0.25">
      <c r="B395" s="23">
        <v>33</v>
      </c>
      <c r="C395" s="23" t="s">
        <v>38</v>
      </c>
      <c r="D395" s="23" t="s">
        <v>33</v>
      </c>
      <c r="E395" s="34">
        <v>1646.9464723821243</v>
      </c>
      <c r="G395" s="23"/>
      <c r="H395" s="23"/>
      <c r="I395" s="23"/>
      <c r="J395" s="34"/>
    </row>
    <row r="396" spans="2:10" x14ac:dyDescent="0.25">
      <c r="B396" s="23">
        <v>34</v>
      </c>
      <c r="C396" s="23" t="s">
        <v>38</v>
      </c>
      <c r="D396" s="23" t="s">
        <v>33</v>
      </c>
      <c r="E396" s="33">
        <v>2077.8527829000004</v>
      </c>
      <c r="G396" s="23"/>
      <c r="H396" s="23"/>
      <c r="I396" s="23"/>
      <c r="J396" s="33"/>
    </row>
    <row r="397" spans="2:10" x14ac:dyDescent="0.25">
      <c r="B397" s="23">
        <v>35</v>
      </c>
      <c r="C397" s="23" t="s">
        <v>38</v>
      </c>
      <c r="D397" s="23" t="s">
        <v>33</v>
      </c>
      <c r="E397" s="34">
        <v>1983.3999999999996</v>
      </c>
      <c r="G397" s="23"/>
      <c r="H397" s="23"/>
      <c r="I397" s="23"/>
      <c r="J397" s="34"/>
    </row>
    <row r="398" spans="2:10" x14ac:dyDescent="0.25">
      <c r="B398" s="23">
        <v>36</v>
      </c>
      <c r="C398" s="23" t="s">
        <v>38</v>
      </c>
      <c r="D398" s="23" t="s">
        <v>33</v>
      </c>
      <c r="E398" s="33">
        <v>1624.8999999999996</v>
      </c>
      <c r="G398" s="23"/>
      <c r="H398" s="23"/>
      <c r="I398" s="23"/>
      <c r="J398" s="33"/>
    </row>
    <row r="399" spans="2:10" x14ac:dyDescent="0.25">
      <c r="B399" s="23">
        <v>37</v>
      </c>
      <c r="C399" s="23" t="s">
        <v>38</v>
      </c>
      <c r="D399" s="23" t="s">
        <v>33</v>
      </c>
      <c r="E399" s="34">
        <v>1775.3000000000002</v>
      </c>
      <c r="G399" s="23"/>
      <c r="H399" s="23"/>
      <c r="I399" s="23"/>
      <c r="J399" s="34"/>
    </row>
    <row r="400" spans="2:10" x14ac:dyDescent="0.25">
      <c r="B400" s="23">
        <v>38</v>
      </c>
      <c r="C400" s="23" t="s">
        <v>38</v>
      </c>
      <c r="D400" s="23" t="s">
        <v>33</v>
      </c>
      <c r="E400" s="38">
        <v>1845.6999999999998</v>
      </c>
      <c r="G400" s="23"/>
      <c r="H400" s="23"/>
      <c r="I400" s="23"/>
      <c r="J400" s="38"/>
    </row>
    <row r="401" spans="2:10" x14ac:dyDescent="0.25">
      <c r="B401" s="23">
        <v>39</v>
      </c>
      <c r="C401" s="23" t="s">
        <v>38</v>
      </c>
      <c r="D401" s="23" t="s">
        <v>33</v>
      </c>
      <c r="E401" s="39">
        <v>907.93330599999945</v>
      </c>
      <c r="G401" s="23"/>
      <c r="H401" s="23"/>
      <c r="I401" s="23"/>
      <c r="J401" s="39"/>
    </row>
    <row r="402" spans="2:10" x14ac:dyDescent="0.25">
      <c r="B402" s="23">
        <v>40</v>
      </c>
      <c r="C402" s="23" t="s">
        <v>38</v>
      </c>
      <c r="D402" s="23" t="s">
        <v>33</v>
      </c>
      <c r="E402" s="40">
        <v>1416.5968750000002</v>
      </c>
      <c r="G402" s="23"/>
      <c r="H402" s="23"/>
      <c r="I402" s="23"/>
      <c r="J402" s="40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ANOVA</vt:lpstr>
      <vt:lpstr>Sheet4</vt:lpstr>
      <vt:lpstr>Sheet3</vt:lpstr>
      <vt:lpstr>ANOVA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2019-11-30T21:52:40Z</dcterms:modified>
</cp:coreProperties>
</file>